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toyotajp.sharepoint.com/sites/msteams_adb3a2/Shared Documents/部共用/部親睦会/部 親睦会/25年度親睦会/40_駅伝/11_全社駅伝/04_選手側作成資料諸々/"/>
    </mc:Choice>
  </mc:AlternateContent>
  <xr:revisionPtr revIDLastSave="25" documentId="13_ncr:1_{F6120F5B-B6A5-4046-BEC7-CCC2D53D8454}" xr6:coauthVersionLast="47" xr6:coauthVersionMax="47" xr10:uidLastSave="{7E6A56CD-71AC-4B63-BB48-AABB820DFC31}"/>
  <bookViews>
    <workbookView xWindow="19090" yWindow="-110" windowWidth="19420" windowHeight="11500" xr2:uid="{00000000-000D-0000-FFFF-FFFF00000000}"/>
  </bookViews>
  <sheets>
    <sheet name="24速報記入用" sheetId="12" r:id="rId1"/>
  </sheets>
  <definedNames>
    <definedName name="_xlnm.Print_Area" localSheetId="0">'24速報記入用'!$A$1:$K$39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2" l="1"/>
  <c r="V37" i="12"/>
  <c r="W37" i="12" s="1"/>
  <c r="V36" i="12"/>
  <c r="W36" i="12" s="1"/>
  <c r="V35" i="12"/>
  <c r="W35" i="12" s="1"/>
  <c r="V34" i="12"/>
  <c r="W34" i="12" s="1"/>
  <c r="V33" i="12"/>
  <c r="W33" i="12" s="1"/>
  <c r="V32" i="12"/>
  <c r="V31" i="12"/>
  <c r="W31" i="12" s="1"/>
  <c r="V24" i="12"/>
  <c r="W24" i="12" s="1"/>
  <c r="V23" i="12"/>
  <c r="W23" i="12" s="1"/>
  <c r="V22" i="12"/>
  <c r="W22" i="12" s="1"/>
  <c r="V21" i="12"/>
  <c r="W21" i="12" s="1"/>
  <c r="V20" i="12"/>
  <c r="V19" i="12"/>
  <c r="W19" i="12" s="1"/>
  <c r="V18" i="12"/>
  <c r="W18" i="12" s="1"/>
  <c r="V12" i="12"/>
  <c r="W12" i="12" s="1"/>
  <c r="V11" i="12"/>
  <c r="W11" i="12" s="1"/>
  <c r="V10" i="12"/>
  <c r="W10" i="12" s="1"/>
  <c r="V9" i="12"/>
  <c r="W9" i="12" s="1"/>
  <c r="V8" i="12"/>
  <c r="V7" i="12"/>
  <c r="W7" i="12" s="1"/>
  <c r="V6" i="12"/>
  <c r="V5" i="12"/>
  <c r="Y37" i="12"/>
  <c r="X39" i="12" s="1"/>
  <c r="Y36" i="12"/>
  <c r="Y35" i="12"/>
  <c r="Y34" i="12"/>
  <c r="Y33" i="12"/>
  <c r="Y32" i="12"/>
  <c r="Y31" i="12"/>
  <c r="X37" i="12"/>
  <c r="X36" i="12"/>
  <c r="X35" i="12"/>
  <c r="X34" i="12"/>
  <c r="X33" i="12"/>
  <c r="X32" i="12"/>
  <c r="X31" i="12"/>
  <c r="Y24" i="12"/>
  <c r="X26" i="12" s="1"/>
  <c r="Y23" i="12"/>
  <c r="Y22" i="12"/>
  <c r="Y21" i="12"/>
  <c r="Y20" i="12"/>
  <c r="Y19" i="12"/>
  <c r="Y18" i="12"/>
  <c r="X24" i="12"/>
  <c r="X23" i="12"/>
  <c r="X22" i="12"/>
  <c r="X21" i="12"/>
  <c r="X20" i="12"/>
  <c r="X19" i="12"/>
  <c r="X18" i="12"/>
  <c r="Y12" i="12"/>
  <c r="X13" i="12" s="1"/>
  <c r="Y11" i="12"/>
  <c r="Y10" i="12"/>
  <c r="Y9" i="12"/>
  <c r="Y8" i="12"/>
  <c r="Y7" i="12"/>
  <c r="Y6" i="12"/>
  <c r="X12" i="12"/>
  <c r="X11" i="12"/>
  <c r="X10" i="12"/>
  <c r="X9" i="12"/>
  <c r="X8" i="12"/>
  <c r="X7" i="12"/>
  <c r="X6" i="12"/>
  <c r="X5" i="12"/>
  <c r="AS34" i="12"/>
  <c r="AS33" i="12"/>
  <c r="AS32" i="12"/>
  <c r="AS31" i="12"/>
  <c r="AS30" i="12"/>
  <c r="AS29" i="12"/>
  <c r="AS28" i="12"/>
  <c r="AS27" i="12"/>
  <c r="AS26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S9" i="12"/>
  <c r="AS8" i="12"/>
  <c r="AS7" i="12"/>
  <c r="AS6" i="12"/>
  <c r="AS5" i="12"/>
  <c r="AS4" i="12"/>
  <c r="AN34" i="12"/>
  <c r="AN33" i="12"/>
  <c r="AN32" i="12"/>
  <c r="AN31" i="12"/>
  <c r="AN30" i="12"/>
  <c r="AN29" i="12"/>
  <c r="AN28" i="12"/>
  <c r="AN27" i="12"/>
  <c r="AN26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N7" i="12"/>
  <c r="AN6" i="12"/>
  <c r="AN5" i="12"/>
  <c r="AN4" i="12"/>
  <c r="AI34" i="12"/>
  <c r="AI33" i="12"/>
  <c r="AI32" i="12"/>
  <c r="AI31" i="12"/>
  <c r="AI30" i="12"/>
  <c r="AI29" i="12"/>
  <c r="AI28" i="12"/>
  <c r="AI27" i="12"/>
  <c r="AI26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I10" i="12"/>
  <c r="AI9" i="12"/>
  <c r="AI8" i="12"/>
  <c r="AI7" i="12"/>
  <c r="AI6" i="12"/>
  <c r="AI5" i="12"/>
  <c r="AI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9" i="12"/>
  <c r="AD4" i="12"/>
  <c r="W40" i="12"/>
  <c r="U39" i="12"/>
  <c r="W27" i="12"/>
  <c r="U26" i="12"/>
  <c r="W14" i="12"/>
  <c r="U13" i="12"/>
  <c r="D13" i="12"/>
  <c r="D39" i="12"/>
  <c r="D26" i="12"/>
  <c r="W32" i="12" l="1"/>
  <c r="W6" i="12"/>
  <c r="W20" i="12"/>
  <c r="W8" i="12"/>
  <c r="V26" i="12"/>
  <c r="W26" i="12" s="1"/>
  <c r="V39" i="12"/>
  <c r="W39" i="12" s="1"/>
  <c r="V13" i="12"/>
  <c r="W13" i="12" s="1"/>
  <c r="W5" i="12"/>
</calcChain>
</file>

<file path=xl/sharedStrings.xml><?xml version="1.0" encoding="utf-8"?>
<sst xmlns="http://schemas.openxmlformats.org/spreadsheetml/2006/main" count="571" uniqueCount="214">
  <si>
    <t>２０２４年　全社駅伝結果</t>
    <rPh sb="4" eb="5">
      <t>ネン</t>
    </rPh>
    <rPh sb="6" eb="8">
      <t>ゼンシャ</t>
    </rPh>
    <rPh sb="8" eb="10">
      <t>エキデン</t>
    </rPh>
    <rPh sb="10" eb="12">
      <t>ケッカ</t>
    </rPh>
    <phoneticPr fontId="2"/>
  </si>
  <si>
    <t>←速報</t>
    <rPh sb="1" eb="3">
      <t>ソクホウ</t>
    </rPh>
    <phoneticPr fontId="2"/>
  </si>
  <si>
    <t>↓消さないで</t>
    <rPh sb="1" eb="2">
      <t>ケ</t>
    </rPh>
    <phoneticPr fontId="2"/>
  </si>
  <si>
    <t>↓ここに縦横逆転で貼り付け</t>
    <rPh sb="4" eb="6">
      <t>タテヨコ</t>
    </rPh>
    <rPh sb="6" eb="8">
      <t>ギャクテン</t>
    </rPh>
    <rPh sb="9" eb="10">
      <t>ハ</t>
    </rPh>
    <rPh sb="11" eb="12">
      <t>ツ</t>
    </rPh>
    <phoneticPr fontId="2"/>
  </si>
  <si>
    <r>
      <t>一般ロング</t>
    </r>
    <r>
      <rPr>
        <b/>
        <sz val="14"/>
        <rFont val="UD デジタル 教科書体 NK-B"/>
        <family val="1"/>
        <charset val="128"/>
      </rPr>
      <t>「本・名）品質保証部</t>
    </r>
    <r>
      <rPr>
        <b/>
        <sz val="14"/>
        <color rgb="FF00B050"/>
        <rFont val="UD デジタル 教科書体 NK-B"/>
        <family val="1"/>
        <charset val="128"/>
      </rPr>
      <t>(ゼッケン243　緑襷)</t>
    </r>
    <r>
      <rPr>
        <b/>
        <sz val="14"/>
        <rFont val="UD デジタル 教科書体 NK-B"/>
        <family val="1"/>
        <charset val="128"/>
      </rPr>
      <t>」</t>
    </r>
    <rPh sb="0" eb="2">
      <t>イッパン</t>
    </rPh>
    <rPh sb="6" eb="7">
      <t>ホン</t>
    </rPh>
    <rPh sb="8" eb="9">
      <t>メイ</t>
    </rPh>
    <rPh sb="10" eb="14">
      <t>ヒンシツホショウ</t>
    </rPh>
    <rPh sb="14" eb="15">
      <t>ブ</t>
    </rPh>
    <rPh sb="24" eb="25">
      <t>ミドリ</t>
    </rPh>
    <rPh sb="25" eb="26">
      <t>タスキ</t>
    </rPh>
    <phoneticPr fontId="2"/>
  </si>
  <si>
    <t>昨年</t>
    <rPh sb="0" eb="2">
      <t>サクネン</t>
    </rPh>
    <phoneticPr fontId="2"/>
  </si>
  <si>
    <t>一般ロングチーム(目標：５０位台)</t>
    <rPh sb="0" eb="2">
      <t>イッパン</t>
    </rPh>
    <rPh sb="9" eb="11">
      <t>モクヒョウ</t>
    </rPh>
    <rPh sb="14" eb="15">
      <t>イ</t>
    </rPh>
    <rPh sb="15" eb="16">
      <t>ダイ</t>
    </rPh>
    <phoneticPr fontId="2"/>
  </si>
  <si>
    <t>ロング</t>
    <phoneticPr fontId="2"/>
  </si>
  <si>
    <t>女性</t>
    <rPh sb="0" eb="2">
      <t>ジョセイ</t>
    </rPh>
    <phoneticPr fontId="2"/>
  </si>
  <si>
    <t>シニア</t>
    <phoneticPr fontId="2"/>
  </si>
  <si>
    <t>ふれあい</t>
    <phoneticPr fontId="2"/>
  </si>
  <si>
    <t>区</t>
    <rPh sb="0" eb="1">
      <t>ク</t>
    </rPh>
    <phoneticPr fontId="2"/>
  </si>
  <si>
    <t>走者</t>
  </si>
  <si>
    <t>距離</t>
  </si>
  <si>
    <t>区間タイム</t>
    <rPh sb="0" eb="2">
      <t>クカン</t>
    </rPh>
    <phoneticPr fontId="2"/>
  </si>
  <si>
    <t>ﾍﾟｰｽ/k</t>
    <phoneticPr fontId="2"/>
  </si>
  <si>
    <t>通過タイム</t>
    <rPh sb="0" eb="2">
      <t>ツウカ</t>
    </rPh>
    <phoneticPr fontId="2"/>
  </si>
  <si>
    <t>通過順</t>
    <rPh sb="0" eb="2">
      <t>ツウカ</t>
    </rPh>
    <rPh sb="2" eb="3">
      <t>ジュン</t>
    </rPh>
    <phoneticPr fontId="2"/>
  </si>
  <si>
    <t>名前</t>
    <rPh sb="0" eb="2">
      <t>ナマエ</t>
    </rPh>
    <phoneticPr fontId="2"/>
  </si>
  <si>
    <t>通過順</t>
    <rPh sb="0" eb="3">
      <t>ツウカジュン</t>
    </rPh>
    <phoneticPr fontId="2"/>
  </si>
  <si>
    <t>自己ベスト</t>
    <rPh sb="0" eb="2">
      <t>ジコ</t>
    </rPh>
    <phoneticPr fontId="2"/>
  </si>
  <si>
    <t>今季ベスト</t>
    <rPh sb="0" eb="2">
      <t>コンキ</t>
    </rPh>
    <phoneticPr fontId="2"/>
  </si>
  <si>
    <t>ゼッケン2４３</t>
    <phoneticPr fontId="2"/>
  </si>
  <si>
    <t>区間ﾀｲﾑ</t>
    <rPh sb="0" eb="2">
      <t>クカン</t>
    </rPh>
    <phoneticPr fontId="2"/>
  </si>
  <si>
    <t>区間順</t>
    <rPh sb="0" eb="2">
      <t>クカン</t>
    </rPh>
    <phoneticPr fontId="2"/>
  </si>
  <si>
    <t>ゼッケン</t>
  </si>
  <si>
    <t>1区</t>
    <rPh sb="1" eb="2">
      <t>ク</t>
    </rPh>
    <phoneticPr fontId="2"/>
  </si>
  <si>
    <t>T13</t>
  </si>
  <si>
    <t>黒肥地健琉</t>
    <rPh sb="0" eb="1">
      <t>クロ</t>
    </rPh>
    <rPh sb="1" eb="2">
      <t>コエ</t>
    </rPh>
    <rPh sb="2" eb="3">
      <t>チ</t>
    </rPh>
    <rPh sb="3" eb="5">
      <t>タケル</t>
    </rPh>
    <phoneticPr fontId="9"/>
  </si>
  <si>
    <t>安芸優一</t>
    <rPh sb="0" eb="2">
      <t>アキ</t>
    </rPh>
    <rPh sb="2" eb="4">
      <t>ユウイチ</t>
    </rPh>
    <phoneticPr fontId="7"/>
  </si>
  <si>
    <t>T23</t>
  </si>
  <si>
    <t>ブロック</t>
  </si>
  <si>
    <t>本社</t>
  </si>
  <si>
    <t>本社・名古屋</t>
  </si>
  <si>
    <t>2区</t>
    <rPh sb="1" eb="2">
      <t>ク</t>
    </rPh>
    <phoneticPr fontId="2"/>
  </si>
  <si>
    <t>源馬功大</t>
  </si>
  <si>
    <t>永尾大樹</t>
    <rPh sb="0" eb="2">
      <t>ナガオ</t>
    </rPh>
    <rPh sb="2" eb="4">
      <t>タイキ</t>
    </rPh>
    <phoneticPr fontId="7"/>
  </si>
  <si>
    <t>T12</t>
  </si>
  <si>
    <t>チーム名</t>
  </si>
  <si>
    <t>本社)品保部･客品部A</t>
  </si>
  <si>
    <t>本/名)C&amp;A/部品用品強化</t>
  </si>
  <si>
    <t>本/名)品保・客品部ｼﾆｱ</t>
  </si>
  <si>
    <t>3区</t>
    <rPh sb="1" eb="2">
      <t>ク</t>
    </rPh>
    <phoneticPr fontId="2"/>
  </si>
  <si>
    <t>T24</t>
  </si>
  <si>
    <t>朝隈晃生</t>
    <rPh sb="0" eb="1">
      <t>アサ</t>
    </rPh>
    <rPh sb="1" eb="2">
      <t>クマ</t>
    </rPh>
    <rPh sb="2" eb="3">
      <t>アキラ</t>
    </rPh>
    <rPh sb="3" eb="4">
      <t>セイ</t>
    </rPh>
    <phoneticPr fontId="9"/>
  </si>
  <si>
    <t>舛田空</t>
    <rPh sb="0" eb="2">
      <t>マスダ</t>
    </rPh>
    <rPh sb="2" eb="3">
      <t>ソラ</t>
    </rPh>
    <phoneticPr fontId="7"/>
  </si>
  <si>
    <t>1区積算順位</t>
  </si>
  <si>
    <t>4区</t>
    <rPh sb="1" eb="2">
      <t>ク</t>
    </rPh>
    <phoneticPr fontId="2"/>
  </si>
  <si>
    <t>CS</t>
  </si>
  <si>
    <t>根本祐希</t>
  </si>
  <si>
    <t>和田龍太</t>
  </si>
  <si>
    <t>SD</t>
  </si>
  <si>
    <t>1区積算タイム</t>
  </si>
  <si>
    <t>0:19:44</t>
  </si>
  <si>
    <t>0:09:08</t>
  </si>
  <si>
    <t>0:13:13</t>
  </si>
  <si>
    <t>5区</t>
    <rPh sb="1" eb="2">
      <t>ク</t>
    </rPh>
    <phoneticPr fontId="2"/>
  </si>
  <si>
    <t>T14</t>
  </si>
  <si>
    <t>坂尻雅</t>
    <rPh sb="0" eb="2">
      <t>サカジリ</t>
    </rPh>
    <rPh sb="2" eb="3">
      <t>マサシ</t>
    </rPh>
    <phoneticPr fontId="2"/>
  </si>
  <si>
    <t>中山拓弥</t>
    <rPh sb="0" eb="2">
      <t>ナカヤマ</t>
    </rPh>
    <rPh sb="2" eb="4">
      <t>タクヤ</t>
    </rPh>
    <phoneticPr fontId="2"/>
  </si>
  <si>
    <t>T11</t>
  </si>
  <si>
    <t>2区区間順位</t>
  </si>
  <si>
    <t>6区</t>
    <rPh sb="1" eb="2">
      <t>ク</t>
    </rPh>
    <phoneticPr fontId="2"/>
  </si>
  <si>
    <t>BIE</t>
  </si>
  <si>
    <t>伊藤稜馬</t>
  </si>
  <si>
    <t>根本祐希</t>
    <rPh sb="0" eb="2">
      <t>ネモト</t>
    </rPh>
    <rPh sb="2" eb="3">
      <t>ユウ</t>
    </rPh>
    <rPh sb="3" eb="4">
      <t>キ</t>
    </rPh>
    <phoneticPr fontId="2"/>
  </si>
  <si>
    <t>CO</t>
  </si>
  <si>
    <t>2区区間タイム</t>
  </si>
  <si>
    <t>0:09:59</t>
  </si>
  <si>
    <t>0:11:08</t>
  </si>
  <si>
    <t>0:13:03</t>
  </si>
  <si>
    <t>7区</t>
    <rPh sb="1" eb="2">
      <t>ク</t>
    </rPh>
    <phoneticPr fontId="2"/>
  </si>
  <si>
    <t>SK</t>
  </si>
  <si>
    <t>白石裕一</t>
    <rPh sb="0" eb="2">
      <t>シライシ</t>
    </rPh>
    <rPh sb="2" eb="4">
      <t>ユウイチ</t>
    </rPh>
    <phoneticPr fontId="2"/>
  </si>
  <si>
    <t>Q21</t>
  </si>
  <si>
    <t>2区積算順位</t>
  </si>
  <si>
    <t>8区</t>
    <rPh sb="1" eb="2">
      <t>ク</t>
    </rPh>
    <phoneticPr fontId="2"/>
  </si>
  <si>
    <t>安芸優一</t>
  </si>
  <si>
    <t>金子一平</t>
    <rPh sb="0" eb="2">
      <t>カネコ</t>
    </rPh>
    <rPh sb="2" eb="4">
      <t>イッペイ</t>
    </rPh>
    <phoneticPr fontId="3"/>
  </si>
  <si>
    <t>T15</t>
  </si>
  <si>
    <t>2区積算タイム</t>
  </si>
  <si>
    <t>0:29:43</t>
  </si>
  <si>
    <t>0:20:16</t>
  </si>
  <si>
    <t>0:26:16</t>
  </si>
  <si>
    <t>合計</t>
    <rPh sb="0" eb="2">
      <t>ゴウケイ</t>
    </rPh>
    <phoneticPr fontId="2"/>
  </si>
  <si>
    <t>ー</t>
    <phoneticPr fontId="2"/>
  </si>
  <si>
    <t>/298</t>
    <phoneticPr fontId="2"/>
  </si>
  <si>
    <t>43位/174 (3:27/k)</t>
    <rPh sb="2" eb="3">
      <t>イ</t>
    </rPh>
    <phoneticPr fontId="2"/>
  </si>
  <si>
    <t>3区区間順位</t>
  </si>
  <si>
    <t>（参考)昨年</t>
    <rPh sb="1" eb="3">
      <t>サンコウ</t>
    </rPh>
    <rPh sb="4" eb="6">
      <t>サクネン</t>
    </rPh>
    <phoneticPr fontId="2"/>
  </si>
  <si>
    <t>66位/130</t>
    <rPh sb="2" eb="3">
      <t>イ</t>
    </rPh>
    <phoneticPr fontId="2"/>
  </si>
  <si>
    <t>3区区間タイム</t>
  </si>
  <si>
    <t>0:09:20</t>
  </si>
  <si>
    <t>0:11:51</t>
  </si>
  <si>
    <t>0:14:15</t>
  </si>
  <si>
    <t>3区積算順位</t>
  </si>
  <si>
    <r>
      <t>女性</t>
    </r>
    <r>
      <rPr>
        <b/>
        <sz val="14"/>
        <rFont val="UD デジタル 教科書体 NK-B"/>
        <family val="1"/>
        <charset val="128"/>
      </rPr>
      <t>「本・名）てくてくペンギン隊</t>
    </r>
    <r>
      <rPr>
        <b/>
        <sz val="14"/>
        <color rgb="FFFF66FF"/>
        <rFont val="UD デジタル 教科書体 NK-B"/>
        <family val="1"/>
        <charset val="128"/>
      </rPr>
      <t>(ゼッケン510　ピンク襷)</t>
    </r>
    <r>
      <rPr>
        <b/>
        <sz val="14"/>
        <rFont val="UD デジタル 教科書体 NK-B"/>
        <family val="1"/>
        <charset val="128"/>
      </rPr>
      <t>」</t>
    </r>
    <rPh sb="0" eb="2">
      <t>ジョセイ</t>
    </rPh>
    <rPh sb="15" eb="16">
      <t>タイ</t>
    </rPh>
    <rPh sb="28" eb="29">
      <t>タスキ</t>
    </rPh>
    <phoneticPr fontId="2"/>
  </si>
  <si>
    <t>女性チーム(目標：笑顔で完走）</t>
    <rPh sb="0" eb="2">
      <t>ジョセイ</t>
    </rPh>
    <rPh sb="6" eb="8">
      <t>モクヒョウ</t>
    </rPh>
    <rPh sb="9" eb="11">
      <t>エガオ</t>
    </rPh>
    <rPh sb="12" eb="14">
      <t>カンソウ</t>
    </rPh>
    <phoneticPr fontId="2"/>
  </si>
  <si>
    <t>3区積算タイム</t>
  </si>
  <si>
    <t>0:39:03</t>
  </si>
  <si>
    <t>0:32:07</t>
  </si>
  <si>
    <t>0:40:31</t>
  </si>
  <si>
    <t>ゼッケン510</t>
    <phoneticPr fontId="2"/>
  </si>
  <si>
    <t>4区区間順位</t>
  </si>
  <si>
    <t>高橋静香</t>
    <rPh sb="0" eb="2">
      <t>タカハシ</t>
    </rPh>
    <rPh sb="2" eb="4">
      <t>シズカ</t>
    </rPh>
    <phoneticPr fontId="2"/>
  </si>
  <si>
    <t>大家瑞希</t>
    <rPh sb="0" eb="2">
      <t>オオヤ</t>
    </rPh>
    <rPh sb="2" eb="4">
      <t>ミズキ</t>
    </rPh>
    <phoneticPr fontId="3"/>
  </si>
  <si>
    <t>QI2</t>
  </si>
  <si>
    <t>4区区間タイム</t>
  </si>
  <si>
    <t>0:17:15</t>
  </si>
  <si>
    <t>0:12:06</t>
  </si>
  <si>
    <t>0:15:06</t>
  </si>
  <si>
    <t>伊豫田まい</t>
    <rPh sb="0" eb="3">
      <t>イヨダ</t>
    </rPh>
    <phoneticPr fontId="2"/>
  </si>
  <si>
    <t>高山菜摘</t>
    <rPh sb="0" eb="2">
      <t>タカヤマ</t>
    </rPh>
    <rPh sb="2" eb="4">
      <t>ナツミ</t>
    </rPh>
    <phoneticPr fontId="2"/>
  </si>
  <si>
    <t>4区積算順位</t>
  </si>
  <si>
    <t>MIP</t>
  </si>
  <si>
    <t>岡田弥生</t>
    <rPh sb="0" eb="2">
      <t>オカダ</t>
    </rPh>
    <rPh sb="2" eb="4">
      <t>ヤヨイ</t>
    </rPh>
    <phoneticPr fontId="2"/>
  </si>
  <si>
    <t>岡田弥生</t>
    <rPh sb="0" eb="2">
      <t>オカダ</t>
    </rPh>
    <rPh sb="2" eb="4">
      <t>ヤヨイ</t>
    </rPh>
    <phoneticPr fontId="7"/>
  </si>
  <si>
    <t>4区積算タイム</t>
  </si>
  <si>
    <t>0:56:18</t>
  </si>
  <si>
    <t>0:44:13</t>
  </si>
  <si>
    <t>0:55:37</t>
  </si>
  <si>
    <t>DQE</t>
  </si>
  <si>
    <t>小谷果穂</t>
    <rPh sb="0" eb="2">
      <t>コタニ</t>
    </rPh>
    <rPh sb="2" eb="4">
      <t>カホ</t>
    </rPh>
    <phoneticPr fontId="2"/>
  </si>
  <si>
    <t>清原椎渚</t>
  </si>
  <si>
    <t>5区区間順位</t>
  </si>
  <si>
    <t>DQS</t>
  </si>
  <si>
    <t>伊藤彩世</t>
    <rPh sb="0" eb="2">
      <t>イトウ</t>
    </rPh>
    <rPh sb="2" eb="3">
      <t>サイ</t>
    </rPh>
    <rPh sb="3" eb="4">
      <t>ヨ</t>
    </rPh>
    <phoneticPr fontId="2"/>
  </si>
  <si>
    <t>長谷川歩佳</t>
    <rPh sb="0" eb="3">
      <t>ハセガワ</t>
    </rPh>
    <rPh sb="3" eb="5">
      <t>アユカ</t>
    </rPh>
    <phoneticPr fontId="3"/>
  </si>
  <si>
    <t>5区区間タイム</t>
  </si>
  <si>
    <t>0:09:53</t>
  </si>
  <si>
    <t>0:12:20</t>
  </si>
  <si>
    <t>0:14:00</t>
  </si>
  <si>
    <t>KW</t>
  </si>
  <si>
    <t>石川真弓</t>
    <rPh sb="0" eb="2">
      <t>イシカワ</t>
    </rPh>
    <rPh sb="2" eb="4">
      <t>マユミ</t>
    </rPh>
    <phoneticPr fontId="2"/>
  </si>
  <si>
    <t>高橋静香</t>
    <rPh sb="0" eb="2">
      <t>タカハシ</t>
    </rPh>
    <rPh sb="2" eb="4">
      <t>シズカ</t>
    </rPh>
    <phoneticPr fontId="3"/>
  </si>
  <si>
    <t>5区積算順位</t>
  </si>
  <si>
    <t>学園</t>
    <rPh sb="0" eb="2">
      <t>ガクエン</t>
    </rPh>
    <phoneticPr fontId="2"/>
  </si>
  <si>
    <t>中島心春</t>
    <rPh sb="0" eb="2">
      <t>ナカシマ</t>
    </rPh>
    <rPh sb="2" eb="4">
      <t>コハル</t>
    </rPh>
    <phoneticPr fontId="2"/>
  </si>
  <si>
    <t>寺本彩乃</t>
    <rPh sb="0" eb="2">
      <t>テラモト</t>
    </rPh>
    <rPh sb="2" eb="4">
      <t>アヤノ</t>
    </rPh>
    <phoneticPr fontId="2"/>
  </si>
  <si>
    <t>12:15
(2.89km)</t>
    <phoneticPr fontId="2"/>
  </si>
  <si>
    <t>5区積算タイム</t>
  </si>
  <si>
    <t>1:06:11</t>
  </si>
  <si>
    <t>0:56:33</t>
  </si>
  <si>
    <t>1:09:37</t>
  </si>
  <si>
    <t>清原椎渚</t>
    <rPh sb="0" eb="2">
      <t>キヨハラ</t>
    </rPh>
    <rPh sb="2" eb="3">
      <t>シイ</t>
    </rPh>
    <rPh sb="3" eb="4">
      <t>ナギサ</t>
    </rPh>
    <phoneticPr fontId="2"/>
  </si>
  <si>
    <t>/21</t>
    <phoneticPr fontId="2"/>
  </si>
  <si>
    <t>11位/21 (4:49/k)</t>
    <rPh sb="2" eb="3">
      <t>イ</t>
    </rPh>
    <phoneticPr fontId="2"/>
  </si>
  <si>
    <t>6区区間順位</t>
  </si>
  <si>
    <t>10位/14</t>
    <rPh sb="2" eb="3">
      <t>イ</t>
    </rPh>
    <phoneticPr fontId="2"/>
  </si>
  <si>
    <t>6区区間タイム</t>
  </si>
  <si>
    <t>0:10:38</t>
  </si>
  <si>
    <t>0:11:42</t>
  </si>
  <si>
    <t>0:13:28</t>
  </si>
  <si>
    <t>6区積算順位</t>
  </si>
  <si>
    <r>
      <t>シニア</t>
    </r>
    <r>
      <rPr>
        <b/>
        <sz val="14"/>
        <rFont val="UD デジタル 教科書体 NK-B"/>
        <family val="1"/>
        <charset val="128"/>
      </rPr>
      <t>「本・名）品質保証部シニア</t>
    </r>
    <r>
      <rPr>
        <b/>
        <sz val="14"/>
        <color rgb="FFFFC000"/>
        <rFont val="UD デジタル 教科書体 NK-B"/>
        <family val="1"/>
        <charset val="128"/>
      </rPr>
      <t>(ゼッケン648　黄色襷)</t>
    </r>
    <r>
      <rPr>
        <b/>
        <sz val="14"/>
        <rFont val="UD デジタル 教科書体 NK-B"/>
        <family val="1"/>
        <charset val="128"/>
      </rPr>
      <t>」</t>
    </r>
    <rPh sb="8" eb="12">
      <t>ヒンシツホショウ</t>
    </rPh>
    <rPh sb="25" eb="27">
      <t>キイロ</t>
    </rPh>
    <rPh sb="27" eb="28">
      <t>タスキ</t>
    </rPh>
    <phoneticPr fontId="2"/>
  </si>
  <si>
    <t>シニアチーム(目標：健康＆安全に完走)</t>
    <rPh sb="7" eb="9">
      <t>モクヒョウ</t>
    </rPh>
    <rPh sb="10" eb="12">
      <t>ケンコウ</t>
    </rPh>
    <rPh sb="13" eb="15">
      <t>アンゼン</t>
    </rPh>
    <rPh sb="16" eb="18">
      <t>カンソウ</t>
    </rPh>
    <phoneticPr fontId="2"/>
  </si>
  <si>
    <t>6区積算タイム</t>
  </si>
  <si>
    <t>1:16:49</t>
  </si>
  <si>
    <t>1:08:15</t>
  </si>
  <si>
    <t>1:23:05</t>
  </si>
  <si>
    <t>ゼッケン648</t>
    <phoneticPr fontId="2"/>
  </si>
  <si>
    <t>7区区間順位</t>
  </si>
  <si>
    <t>7区区間順位</t>
    <phoneticPr fontId="2"/>
  </si>
  <si>
    <t>BRQMS</t>
  </si>
  <si>
    <t>平宗一郎</t>
    <rPh sb="0" eb="1">
      <t>タイラ</t>
    </rPh>
    <rPh sb="1" eb="4">
      <t>ソウイチロウ</t>
    </rPh>
    <phoneticPr fontId="2"/>
  </si>
  <si>
    <t>竹平忠司</t>
    <rPh sb="0" eb="2">
      <t>タケヒラ</t>
    </rPh>
    <rPh sb="2" eb="3">
      <t>チュウ</t>
    </rPh>
    <rPh sb="3" eb="4">
      <t>シ</t>
    </rPh>
    <phoneticPr fontId="1"/>
  </si>
  <si>
    <t>7区区間タイム</t>
  </si>
  <si>
    <t>0:10:09</t>
  </si>
  <si>
    <t>7区区間タイム</t>
    <phoneticPr fontId="2"/>
  </si>
  <si>
    <t>BF</t>
  </si>
  <si>
    <t>風間裕</t>
    <rPh sb="0" eb="2">
      <t>カザマ</t>
    </rPh>
    <rPh sb="2" eb="3">
      <t>ヒロシ</t>
    </rPh>
    <phoneticPr fontId="2"/>
  </si>
  <si>
    <t>中川孝二</t>
    <rPh sb="0" eb="2">
      <t>ナカガワ</t>
    </rPh>
    <rPh sb="2" eb="4">
      <t>コウジ</t>
    </rPh>
    <phoneticPr fontId="1"/>
  </si>
  <si>
    <t>KW1</t>
  </si>
  <si>
    <t>7区積算順位</t>
  </si>
  <si>
    <t>7区積算順位</t>
    <phoneticPr fontId="2"/>
  </si>
  <si>
    <t>KW3</t>
  </si>
  <si>
    <t>中川孝二</t>
    <rPh sb="0" eb="2">
      <t>ナカガワ</t>
    </rPh>
    <rPh sb="2" eb="4">
      <t>コウジ</t>
    </rPh>
    <phoneticPr fontId="2"/>
  </si>
  <si>
    <t>本多孝志</t>
    <rPh sb="0" eb="2">
      <t>ホンダ</t>
    </rPh>
    <rPh sb="2" eb="3">
      <t xml:space="preserve">タカシ </t>
    </rPh>
    <rPh sb="3" eb="4">
      <t xml:space="preserve">シ </t>
    </rPh>
    <phoneticPr fontId="1"/>
  </si>
  <si>
    <t>KW2</t>
  </si>
  <si>
    <t>柴紳司</t>
    <rPh sb="0" eb="1">
      <t>シバ</t>
    </rPh>
    <rPh sb="1" eb="3">
      <t>シンジ</t>
    </rPh>
    <phoneticPr fontId="1"/>
  </si>
  <si>
    <t>7区積算タイム</t>
  </si>
  <si>
    <t>1:26:58</t>
  </si>
  <si>
    <t>7区積算タイム</t>
    <phoneticPr fontId="2"/>
  </si>
  <si>
    <t>KK</t>
  </si>
  <si>
    <t>宮嶋雅章</t>
    <rPh sb="0" eb="2">
      <t>ミヤジマ</t>
    </rPh>
    <rPh sb="2" eb="3">
      <t>ミヤビ</t>
    </rPh>
    <phoneticPr fontId="2"/>
  </si>
  <si>
    <t>寺田周平</t>
    <rPh sb="0" eb="2">
      <t>テラダ</t>
    </rPh>
    <rPh sb="2" eb="4">
      <t>シュウヘイ</t>
    </rPh>
    <phoneticPr fontId="1"/>
  </si>
  <si>
    <t>QSS</t>
  </si>
  <si>
    <t>8区区間順位</t>
  </si>
  <si>
    <t>種目名</t>
  </si>
  <si>
    <t>女性の部</t>
    <rPh sb="0" eb="2">
      <t>ジョセイ</t>
    </rPh>
    <rPh sb="3" eb="4">
      <t>ブ</t>
    </rPh>
    <phoneticPr fontId="2"/>
  </si>
  <si>
    <t>シニアの部</t>
    <phoneticPr fontId="2"/>
  </si>
  <si>
    <t>ふれあいの部</t>
  </si>
  <si>
    <t>T25</t>
  </si>
  <si>
    <t>本多孝志</t>
    <rPh sb="0" eb="2">
      <t>ホンダ</t>
    </rPh>
    <rPh sb="2" eb="3">
      <t>タカシ</t>
    </rPh>
    <rPh sb="3" eb="4">
      <t>ココロザシ</t>
    </rPh>
    <phoneticPr fontId="2"/>
  </si>
  <si>
    <t>張強</t>
    <rPh sb="0" eb="1">
      <t>チョウ</t>
    </rPh>
    <rPh sb="1" eb="2">
      <t>ツヨ</t>
    </rPh>
    <phoneticPr fontId="1"/>
  </si>
  <si>
    <t>8区区間タイム</t>
  </si>
  <si>
    <t>0:17:58</t>
  </si>
  <si>
    <t>DQM</t>
  </si>
  <si>
    <t>北村憲康</t>
    <rPh sb="0" eb="2">
      <t>キタムラ</t>
    </rPh>
    <rPh sb="2" eb="3">
      <t>ノリ</t>
    </rPh>
    <rPh sb="3" eb="4">
      <t>ヤス</t>
    </rPh>
    <phoneticPr fontId="2"/>
  </si>
  <si>
    <t>後藤博隆</t>
    <rPh sb="0" eb="2">
      <t>ゴトウ</t>
    </rPh>
    <rPh sb="2" eb="4">
      <t>ヒロタカ</t>
    </rPh>
    <phoneticPr fontId="1"/>
  </si>
  <si>
    <t>Q41</t>
  </si>
  <si>
    <t>8区積算順位</t>
  </si>
  <si>
    <t>KP</t>
  </si>
  <si>
    <t>寺田周平</t>
    <rPh sb="0" eb="2">
      <t>テラダ</t>
    </rPh>
    <rPh sb="2" eb="4">
      <t>シュウヘイ</t>
    </rPh>
    <phoneticPr fontId="2"/>
  </si>
  <si>
    <t>12:26
(2.89km)</t>
    <phoneticPr fontId="2"/>
  </si>
  <si>
    <t>T16</t>
  </si>
  <si>
    <t>本多孝志</t>
    <rPh sb="0" eb="2">
      <t>ホンダ</t>
    </rPh>
    <rPh sb="2" eb="3">
      <t>タカシ</t>
    </rPh>
    <rPh sb="3" eb="4">
      <t>シ</t>
    </rPh>
    <phoneticPr fontId="1"/>
  </si>
  <si>
    <t>8区積算タイム</t>
  </si>
  <si>
    <t>1:44:56</t>
  </si>
  <si>
    <t>柴紳司</t>
  </si>
  <si>
    <t>/64</t>
    <phoneticPr fontId="2"/>
  </si>
  <si>
    <t>54位/64 (4:34/k)</t>
    <rPh sb="2" eb="3">
      <t>イ</t>
    </rPh>
    <phoneticPr fontId="2"/>
  </si>
  <si>
    <t>ロングの部</t>
  </si>
  <si>
    <t>44位/45</t>
    <rPh sb="2" eb="3">
      <t>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</si>
</sst>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:ss"/>
    <numFmt numFmtId="177" formatCode="m\.ss"/>
    <numFmt numFmtId="178" formatCode="0_);[Red]\(0\)"/>
    <numFmt numFmtId="179" formatCode="0.00_ "/>
  </numFmts>
  <fonts count="4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HGP創英角ｺﾞｼｯｸUB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14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sz val="12"/>
      <color rgb="FFFF0000"/>
      <name val="UD デジタル 教科書体 NK-B"/>
      <family val="1"/>
      <charset val="128"/>
    </font>
    <font>
      <sz val="10"/>
      <color theme="0" tint="-0.249977111117893"/>
      <name val="UD デジタル 教科書体 NK-B"/>
      <family val="1"/>
      <charset val="128"/>
    </font>
    <font>
      <b/>
      <sz val="10"/>
      <color theme="0" tint="-0.249977111117893"/>
      <name val="UD デジタル 教科書体 NK-B"/>
      <family val="1"/>
      <charset val="128"/>
    </font>
    <font>
      <sz val="8"/>
      <color theme="0" tint="-0.249977111117893"/>
      <name val="UD デジタル 教科書体 NK-B"/>
      <family val="1"/>
      <charset val="128"/>
    </font>
    <font>
      <sz val="10"/>
      <color theme="0"/>
      <name val="UD デジタル 教科書体 NK-B"/>
      <family val="1"/>
      <charset val="128"/>
    </font>
    <font>
      <sz val="8"/>
      <color theme="0"/>
      <name val="UD デジタル 教科書体 NK-B"/>
      <family val="1"/>
      <charset val="128"/>
    </font>
    <font>
      <b/>
      <sz val="10"/>
      <color theme="0"/>
      <name val="UD デジタル 教科書体 NK-B"/>
      <family val="1"/>
      <charset val="128"/>
    </font>
    <font>
      <sz val="11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HGP創英角ｺﾞｼｯｸUB"/>
      <family val="3"/>
      <charset val="128"/>
    </font>
    <font>
      <b/>
      <sz val="16"/>
      <color theme="0"/>
      <name val="ＭＳ Ｐゴシック"/>
      <family val="3"/>
      <charset val="128"/>
    </font>
    <font>
      <sz val="9"/>
      <color theme="0" tint="-0.249977111117893"/>
      <name val="UD デジタル 教科書体 NK-B"/>
      <family val="1"/>
      <charset val="128"/>
    </font>
    <font>
      <b/>
      <sz val="9"/>
      <color theme="0" tint="-0.249977111117893"/>
      <name val="UD デジタル 教科書体 NK-B"/>
      <family val="1"/>
      <charset val="128"/>
    </font>
    <font>
      <b/>
      <sz val="10"/>
      <color theme="0" tint="-0.34998626667073579"/>
      <name val="UD デジタル 教科書体 NK-B"/>
      <family val="1"/>
      <charset val="128"/>
    </font>
    <font>
      <b/>
      <sz val="14"/>
      <color rgb="FF00B050"/>
      <name val="UD デジタル 教科書体 NK-B"/>
      <family val="1"/>
      <charset val="128"/>
    </font>
    <font>
      <b/>
      <sz val="14"/>
      <color rgb="FFFF66FF"/>
      <name val="UD デジタル 教科書体 NK-B"/>
      <family val="1"/>
      <charset val="128"/>
    </font>
    <font>
      <b/>
      <sz val="14"/>
      <color rgb="FFFFC000"/>
      <name val="UD デジタル 教科書体 NK-B"/>
      <family val="1"/>
      <charset val="128"/>
    </font>
    <font>
      <b/>
      <sz val="18"/>
      <name val="UD デジタル 教科書体 NK-B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9" fillId="0" borderId="0"/>
  </cellStyleXfs>
  <cellXfs count="165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76" fontId="8" fillId="2" borderId="0" xfId="0" applyNumberFormat="1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45" fontId="17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5" fontId="1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79" fontId="18" fillId="2" borderId="0" xfId="0" applyNumberFormat="1" applyFont="1" applyFill="1" applyAlignment="1">
      <alignment vertical="center"/>
    </xf>
    <xf numFmtId="179" fontId="18" fillId="2" borderId="2" xfId="0" applyNumberFormat="1" applyFont="1" applyFill="1" applyBorder="1" applyAlignment="1">
      <alignment horizontal="center" vertical="center" wrapText="1"/>
    </xf>
    <xf numFmtId="179" fontId="18" fillId="2" borderId="0" xfId="0" applyNumberFormat="1" applyFont="1" applyFill="1" applyAlignment="1">
      <alignment horizontal="center" vertical="center"/>
    </xf>
    <xf numFmtId="179" fontId="18" fillId="0" borderId="0" xfId="0" applyNumberFormat="1" applyFont="1" applyAlignment="1">
      <alignment vertical="center"/>
    </xf>
    <xf numFmtId="177" fontId="11" fillId="2" borderId="0" xfId="0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177" fontId="16" fillId="2" borderId="0" xfId="0" applyNumberFormat="1" applyFont="1" applyFill="1" applyAlignment="1">
      <alignment horizontal="left" vertical="center"/>
    </xf>
    <xf numFmtId="0" fontId="16" fillId="2" borderId="2" xfId="0" applyFont="1" applyFill="1" applyBorder="1" applyAlignment="1">
      <alignment horizontal="center" vertical="center" wrapText="1"/>
    </xf>
    <xf numFmtId="177" fontId="11" fillId="2" borderId="0" xfId="0" applyNumberFormat="1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11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176" fontId="16" fillId="2" borderId="2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45" fontId="17" fillId="2" borderId="2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176" fontId="17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2" borderId="0" xfId="0" applyNumberFormat="1" applyFont="1" applyFill="1" applyAlignment="1">
      <alignment horizontal="left" vertical="center"/>
    </xf>
    <xf numFmtId="176" fontId="16" fillId="3" borderId="2" xfId="0" applyNumberFormat="1" applyFont="1" applyFill="1" applyBorder="1" applyAlignment="1">
      <alignment horizontal="center" vertical="center" wrapText="1"/>
    </xf>
    <xf numFmtId="21" fontId="17" fillId="3" borderId="2" xfId="0" applyNumberFormat="1" applyFont="1" applyFill="1" applyBorder="1" applyAlignment="1">
      <alignment horizontal="center" vertical="center"/>
    </xf>
    <xf numFmtId="179" fontId="15" fillId="3" borderId="2" xfId="0" applyNumberFormat="1" applyFont="1" applyFill="1" applyBorder="1" applyAlignment="1">
      <alignment horizontal="center" vertical="center" wrapText="1"/>
    </xf>
    <xf numFmtId="45" fontId="17" fillId="2" borderId="0" xfId="0" quotePrefix="1" applyNumberFormat="1" applyFont="1" applyFill="1" applyAlignment="1">
      <alignment vertical="center"/>
    </xf>
    <xf numFmtId="45" fontId="17" fillId="2" borderId="0" xfId="0" applyNumberFormat="1" applyFont="1" applyFill="1" applyAlignment="1">
      <alignment horizontal="center"/>
    </xf>
    <xf numFmtId="0" fontId="17" fillId="2" borderId="0" xfId="0" applyFont="1" applyFill="1"/>
    <xf numFmtId="179" fontId="13" fillId="2" borderId="2" xfId="0" applyNumberFormat="1" applyFont="1" applyFill="1" applyBorder="1" applyAlignment="1">
      <alignment horizontal="center" vertical="center" wrapText="1"/>
    </xf>
    <xf numFmtId="179" fontId="13" fillId="2" borderId="5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179" fontId="25" fillId="2" borderId="7" xfId="0" applyNumberFormat="1" applyFont="1" applyFill="1" applyBorder="1" applyAlignment="1">
      <alignment horizontal="center" vertical="center" wrapText="1"/>
    </xf>
    <xf numFmtId="21" fontId="24" fillId="2" borderId="7" xfId="0" applyNumberFormat="1" applyFont="1" applyFill="1" applyBorder="1" applyAlignment="1">
      <alignment horizontal="center" vertical="center"/>
    </xf>
    <xf numFmtId="177" fontId="24" fillId="2" borderId="7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1" applyFont="1" applyAlignment="1">
      <alignment horizontal="right" wrapText="1"/>
    </xf>
    <xf numFmtId="0" fontId="27" fillId="0" borderId="0" xfId="0" applyFont="1" applyAlignment="1">
      <alignment vertical="center"/>
    </xf>
    <xf numFmtId="0" fontId="29" fillId="6" borderId="0" xfId="1" applyFont="1" applyFill="1" applyAlignment="1">
      <alignment horizontal="left"/>
    </xf>
    <xf numFmtId="0" fontId="29" fillId="0" borderId="0" xfId="0" applyFont="1" applyAlignment="1">
      <alignment horizontal="left"/>
    </xf>
    <xf numFmtId="0" fontId="27" fillId="0" borderId="0" xfId="0" applyFont="1"/>
    <xf numFmtId="176" fontId="29" fillId="0" borderId="0" xfId="0" applyNumberFormat="1" applyFont="1" applyAlignment="1">
      <alignment horizontal="left"/>
    </xf>
    <xf numFmtId="176" fontId="27" fillId="0" borderId="0" xfId="0" applyNumberFormat="1" applyFont="1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178" fontId="3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78" fontId="17" fillId="2" borderId="2" xfId="0" applyNumberFormat="1" applyFont="1" applyFill="1" applyBorder="1" applyAlignment="1">
      <alignment horizontal="center" vertical="center"/>
    </xf>
    <xf numFmtId="178" fontId="27" fillId="0" borderId="0" xfId="0" applyNumberFormat="1" applyFont="1"/>
    <xf numFmtId="0" fontId="27" fillId="6" borderId="9" xfId="1" applyFont="1" applyFill="1" applyBorder="1" applyAlignment="1">
      <alignment horizontal="center"/>
    </xf>
    <xf numFmtId="178" fontId="27" fillId="4" borderId="1" xfId="1" applyNumberFormat="1" applyFont="1" applyFill="1" applyBorder="1" applyAlignment="1">
      <alignment horizontal="right" wrapText="1"/>
    </xf>
    <xf numFmtId="178" fontId="27" fillId="4" borderId="1" xfId="1" applyNumberFormat="1" applyFont="1" applyFill="1" applyBorder="1" applyAlignment="1">
      <alignment wrapText="1"/>
    </xf>
    <xf numFmtId="176" fontId="11" fillId="5" borderId="0" xfId="0" applyNumberFormat="1" applyFont="1" applyFill="1" applyAlignment="1">
      <alignment horizontal="center" vertical="center" wrapText="1"/>
    </xf>
    <xf numFmtId="177" fontId="31" fillId="2" borderId="0" xfId="0" applyNumberFormat="1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 vertical="center" wrapText="1"/>
    </xf>
    <xf numFmtId="176" fontId="32" fillId="2" borderId="0" xfId="0" applyNumberFormat="1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45" fontId="36" fillId="2" borderId="10" xfId="0" applyNumberFormat="1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76" fontId="21" fillId="2" borderId="10" xfId="0" applyNumberFormat="1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2" fillId="2" borderId="0" xfId="0" applyFont="1" applyFill="1" applyAlignment="1">
      <alignment horizontal="left" vertical="center"/>
    </xf>
    <xf numFmtId="176" fontId="35" fillId="2" borderId="0" xfId="0" applyNumberFormat="1" applyFont="1" applyFill="1" applyAlignment="1">
      <alignment horizontal="center"/>
    </xf>
    <xf numFmtId="0" fontId="11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179" fontId="13" fillId="2" borderId="12" xfId="0" applyNumberFormat="1" applyFont="1" applyFill="1" applyBorder="1" applyAlignment="1">
      <alignment horizontal="center" vertical="center" wrapText="1"/>
    </xf>
    <xf numFmtId="176" fontId="17" fillId="2" borderId="12" xfId="0" applyNumberFormat="1" applyFont="1" applyFill="1" applyBorder="1" applyAlignment="1">
      <alignment horizontal="center" vertical="center"/>
    </xf>
    <xf numFmtId="176" fontId="16" fillId="2" borderId="12" xfId="0" applyNumberFormat="1" applyFont="1" applyFill="1" applyBorder="1" applyAlignment="1">
      <alignment horizontal="center" vertical="center" wrapText="1"/>
    </xf>
    <xf numFmtId="178" fontId="17" fillId="2" borderId="12" xfId="0" applyNumberFormat="1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 wrapText="1"/>
    </xf>
    <xf numFmtId="179" fontId="18" fillId="7" borderId="11" xfId="0" applyNumberFormat="1" applyFont="1" applyFill="1" applyBorder="1" applyAlignment="1">
      <alignment horizontal="center" vertical="center" wrapText="1"/>
    </xf>
    <xf numFmtId="45" fontId="17" fillId="7" borderId="11" xfId="0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176" fontId="17" fillId="2" borderId="5" xfId="0" applyNumberFormat="1" applyFont="1" applyFill="1" applyBorder="1" applyAlignment="1">
      <alignment horizontal="center" vertical="center"/>
    </xf>
    <xf numFmtId="176" fontId="16" fillId="2" borderId="5" xfId="0" applyNumberFormat="1" applyFont="1" applyFill="1" applyBorder="1" applyAlignment="1">
      <alignment horizontal="center" vertical="center" wrapText="1"/>
    </xf>
    <xf numFmtId="178" fontId="17" fillId="2" borderId="5" xfId="0" applyNumberFormat="1" applyFont="1" applyFill="1" applyBorder="1" applyAlignment="1">
      <alignment horizontal="center" vertical="center"/>
    </xf>
    <xf numFmtId="179" fontId="23" fillId="2" borderId="0" xfId="0" applyNumberFormat="1" applyFont="1" applyFill="1" applyAlignment="1">
      <alignment horizontal="center" vertical="center" wrapText="1"/>
    </xf>
    <xf numFmtId="21" fontId="21" fillId="2" borderId="0" xfId="0" applyNumberFormat="1" applyFont="1" applyFill="1" applyAlignment="1">
      <alignment horizontal="center" vertical="center"/>
    </xf>
    <xf numFmtId="177" fontId="21" fillId="2" borderId="0" xfId="0" applyNumberFormat="1" applyFont="1" applyFill="1" applyAlignment="1">
      <alignment horizontal="center" vertical="center"/>
    </xf>
    <xf numFmtId="179" fontId="15" fillId="3" borderId="16" xfId="0" applyNumberFormat="1" applyFont="1" applyFill="1" applyBorder="1" applyAlignment="1">
      <alignment horizontal="center" vertical="center" wrapText="1"/>
    </xf>
    <xf numFmtId="21" fontId="17" fillId="3" borderId="16" xfId="0" applyNumberFormat="1" applyFont="1" applyFill="1" applyBorder="1" applyAlignment="1">
      <alignment horizontal="center" vertical="center"/>
    </xf>
    <xf numFmtId="176" fontId="16" fillId="3" borderId="16" xfId="0" applyNumberFormat="1" applyFont="1" applyFill="1" applyBorder="1" applyAlignment="1">
      <alignment horizontal="center" vertical="center" wrapText="1"/>
    </xf>
    <xf numFmtId="176" fontId="16" fillId="3" borderId="17" xfId="0" applyNumberFormat="1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right" vertical="center"/>
    </xf>
    <xf numFmtId="176" fontId="35" fillId="2" borderId="8" xfId="0" applyNumberFormat="1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179" fontId="13" fillId="2" borderId="19" xfId="0" applyNumberFormat="1" applyFont="1" applyFill="1" applyBorder="1" applyAlignment="1">
      <alignment horizontal="center" vertical="center" wrapText="1"/>
    </xf>
    <xf numFmtId="176" fontId="17" fillId="2" borderId="19" xfId="0" applyNumberFormat="1" applyFont="1" applyFill="1" applyBorder="1" applyAlignment="1">
      <alignment horizontal="center" vertical="center"/>
    </xf>
    <xf numFmtId="176" fontId="16" fillId="2" borderId="19" xfId="0" applyNumberFormat="1" applyFont="1" applyFill="1" applyBorder="1" applyAlignment="1">
      <alignment horizontal="center" vertical="center" wrapText="1"/>
    </xf>
    <xf numFmtId="178" fontId="17" fillId="2" borderId="19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176" fontId="35" fillId="2" borderId="0" xfId="0" applyNumberFormat="1" applyFont="1" applyFill="1" applyAlignment="1">
      <alignment horizontal="left" vertical="center"/>
    </xf>
    <xf numFmtId="176" fontId="34" fillId="2" borderId="0" xfId="0" applyNumberFormat="1" applyFont="1" applyFill="1" applyAlignment="1">
      <alignment vertical="center"/>
    </xf>
    <xf numFmtId="176" fontId="35" fillId="2" borderId="0" xfId="0" applyNumberFormat="1" applyFont="1" applyFill="1" applyAlignment="1">
      <alignment vertical="center"/>
    </xf>
    <xf numFmtId="176" fontId="35" fillId="2" borderId="0" xfId="0" applyNumberFormat="1" applyFont="1" applyFill="1" applyAlignment="1">
      <alignment horizontal="centerContinuous" vertical="center"/>
    </xf>
    <xf numFmtId="176" fontId="35" fillId="2" borderId="0" xfId="0" applyNumberFormat="1" applyFont="1" applyFill="1" applyAlignment="1">
      <alignment horizontal="center" vertical="center"/>
    </xf>
    <xf numFmtId="176" fontId="35" fillId="0" borderId="0" xfId="0" applyNumberFormat="1" applyFont="1" applyAlignment="1">
      <alignment vertical="center"/>
    </xf>
    <xf numFmtId="176" fontId="35" fillId="2" borderId="0" xfId="0" applyNumberFormat="1" applyFont="1" applyFill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21" fontId="40" fillId="2" borderId="0" xfId="0" applyNumberFormat="1" applyFont="1" applyFill="1" applyAlignment="1">
      <alignment vertical="center"/>
    </xf>
    <xf numFmtId="0" fontId="21" fillId="2" borderId="0" xfId="0" applyFont="1" applyFill="1"/>
    <xf numFmtId="0" fontId="21" fillId="2" borderId="0" xfId="0" applyFont="1" applyFill="1" applyAlignment="1">
      <alignment horizontal="center"/>
    </xf>
    <xf numFmtId="176" fontId="18" fillId="2" borderId="0" xfId="0" applyNumberFormat="1" applyFont="1" applyFill="1" applyAlignment="1">
      <alignment horizontal="center" vertical="center"/>
    </xf>
    <xf numFmtId="178" fontId="34" fillId="2" borderId="0" xfId="0" applyNumberFormat="1" applyFont="1" applyFill="1" applyAlignment="1">
      <alignment vertical="center" shrinkToFit="1"/>
    </xf>
    <xf numFmtId="178" fontId="35" fillId="2" borderId="0" xfId="0" applyNumberFormat="1" applyFont="1" applyFill="1" applyAlignment="1">
      <alignment vertical="center" shrinkToFit="1"/>
    </xf>
    <xf numFmtId="178" fontId="35" fillId="2" borderId="0" xfId="0" applyNumberFormat="1" applyFont="1" applyFill="1" applyAlignment="1">
      <alignment shrinkToFit="1"/>
    </xf>
    <xf numFmtId="178" fontId="35" fillId="2" borderId="0" xfId="0" applyNumberFormat="1" applyFont="1" applyFill="1" applyAlignment="1">
      <alignment horizontal="center" shrinkToFit="1"/>
    </xf>
    <xf numFmtId="178" fontId="35" fillId="2" borderId="0" xfId="0" applyNumberFormat="1" applyFont="1" applyFill="1" applyAlignment="1">
      <alignment horizontal="center" vertical="center" shrinkToFit="1"/>
    </xf>
    <xf numFmtId="178" fontId="34" fillId="2" borderId="0" xfId="0" applyNumberFormat="1" applyFont="1" applyFill="1" applyAlignment="1">
      <alignment horizontal="left" vertical="center" shrinkToFit="1"/>
    </xf>
    <xf numFmtId="178" fontId="35" fillId="0" borderId="0" xfId="0" applyNumberFormat="1" applyFont="1" applyAlignment="1">
      <alignment vertical="center" shrinkToFit="1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21" fillId="2" borderId="0" xfId="0" applyFont="1" applyFill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</cellXfs>
  <cellStyles count="2">
    <cellStyle name="標準" xfId="0" builtinId="0"/>
    <cellStyle name="標準_Sheet1" xfId="1" xr:uid="{00000000-0005-0000-0000-000001000000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537348</xdr:colOff>
      <xdr:row>0</xdr:row>
      <xdr:rowOff>50132</xdr:rowOff>
    </xdr:from>
    <xdr:to>
      <xdr:col>9</xdr:col>
      <xdr:colOff>175461</xdr:colOff>
      <xdr:row>3</xdr:row>
      <xdr:rowOff>37599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9DB084-9223-89D4-A135-BFDEBC54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8631" y="50132"/>
          <a:ext cx="916468" cy="814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"/>
  <sheetViews>
    <sheetView tabSelected="1" view="pageBreakPreview" topLeftCell="P1" zoomScale="76" zoomScaleNormal="85" zoomScaleSheetLayoutView="70" workbookViewId="0">
      <selection activeCell="AI5" sqref="AI5"/>
    </sheetView>
  </sheetViews>
  <sheetFormatPr defaultColWidth="11" defaultRowHeight="19" x14ac:dyDescent="0.2"/>
  <cols>
    <col min="1" max="1" width="5.1796875" style="13" customWidth="1"/>
    <col min="2" max="2" width="6.81640625" style="24" customWidth="1"/>
    <col min="3" max="3" width="12.7265625" style="38" customWidth="1"/>
    <col min="4" max="4" width="6.453125" style="28" customWidth="1"/>
    <col min="5" max="5" width="15.453125" style="23" customWidth="1"/>
    <col min="6" max="6" width="8.81640625" style="21" customWidth="1"/>
    <col min="7" max="7" width="13.453125" style="21" customWidth="1"/>
    <col min="8" max="8" width="11.81640625" style="22" customWidth="1"/>
    <col min="9" max="9" width="4.81640625" style="132" customWidth="1"/>
    <col min="10" max="10" width="11" style="134" customWidth="1"/>
    <col min="11" max="11" width="5.26953125" style="149" customWidth="1"/>
    <col min="12" max="13" width="12.1796875" style="86" customWidth="1"/>
    <col min="14" max="17" width="11.1796875" style="5" customWidth="1"/>
    <col min="18" max="21" width="11" style="1"/>
    <col min="22" max="22" width="11" style="47"/>
    <col min="23" max="27" width="11" style="1"/>
    <col min="28" max="28" width="15.453125" style="1" customWidth="1"/>
    <col min="29" max="29" width="11" style="73"/>
    <col min="30" max="30" width="8.26953125" style="62" customWidth="1"/>
    <col min="31" max="31" width="7.26953125" style="1" customWidth="1"/>
    <col min="32" max="33" width="11" style="1"/>
    <col min="34" max="34" width="11" style="73"/>
    <col min="35" max="35" width="7.26953125" style="62" customWidth="1"/>
    <col min="36" max="36" width="7.26953125" style="1" customWidth="1"/>
    <col min="37" max="39" width="11" style="1"/>
    <col min="40" max="40" width="7.26953125" style="62" customWidth="1"/>
    <col min="41" max="41" width="7.26953125" style="1" customWidth="1"/>
    <col min="42" max="44" width="11" style="1"/>
    <col min="45" max="45" width="11" style="62"/>
    <col min="46" max="16384" width="11" style="1"/>
  </cols>
  <sheetData>
    <row r="1" spans="1:45" s="2" customFormat="1" ht="19.5" customHeight="1" x14ac:dyDescent="0.2">
      <c r="A1" s="139" t="s">
        <v>0</v>
      </c>
      <c r="B1" s="14"/>
      <c r="C1" s="35"/>
      <c r="D1" s="25"/>
      <c r="E1" s="52"/>
      <c r="F1" s="150"/>
      <c r="G1" s="150"/>
      <c r="H1" s="39"/>
      <c r="I1" s="128"/>
      <c r="J1" s="142" t="s">
        <v>1</v>
      </c>
      <c r="K1" s="143"/>
      <c r="L1" s="81"/>
      <c r="M1" s="81"/>
      <c r="N1" s="6"/>
      <c r="O1" s="6"/>
      <c r="P1" s="6"/>
      <c r="Q1" s="6"/>
      <c r="R1" s="87" t="s">
        <v>2</v>
      </c>
      <c r="S1" s="151"/>
      <c r="T1" s="151"/>
      <c r="U1" s="151"/>
      <c r="V1" s="47"/>
      <c r="W1" s="151"/>
      <c r="X1" s="151"/>
      <c r="Y1" s="151"/>
      <c r="Z1" s="151"/>
      <c r="AA1" s="151"/>
      <c r="AB1" s="61" t="s">
        <v>3</v>
      </c>
      <c r="AC1" s="152"/>
      <c r="AD1" s="62"/>
      <c r="AE1" s="151"/>
      <c r="AF1" s="151"/>
      <c r="AG1" s="61" t="s">
        <v>3</v>
      </c>
      <c r="AH1" s="152"/>
      <c r="AI1" s="62"/>
      <c r="AJ1" s="151"/>
      <c r="AK1" s="151"/>
      <c r="AL1" s="61" t="s">
        <v>3</v>
      </c>
      <c r="AM1" s="151"/>
      <c r="AN1" s="62"/>
      <c r="AO1" s="151"/>
      <c r="AP1" s="151"/>
      <c r="AQ1" s="61" t="s">
        <v>3</v>
      </c>
      <c r="AR1" s="151"/>
      <c r="AS1" s="62"/>
    </row>
    <row r="2" spans="1:45" s="2" customFormat="1" ht="26.25" customHeight="1" x14ac:dyDescent="0.2">
      <c r="A2" s="12"/>
      <c r="B2" s="14"/>
      <c r="C2" s="35"/>
      <c r="D2" s="25"/>
      <c r="E2" s="19"/>
      <c r="F2" s="30"/>
      <c r="G2" s="30"/>
      <c r="H2" s="18"/>
      <c r="I2" s="129"/>
      <c r="J2" s="131"/>
      <c r="K2" s="144"/>
      <c r="L2" s="82"/>
      <c r="M2" s="82"/>
      <c r="N2" s="7"/>
      <c r="O2" s="7"/>
      <c r="P2" s="7"/>
      <c r="Q2" s="7"/>
      <c r="R2" s="151"/>
      <c r="S2" s="151"/>
      <c r="T2" s="151"/>
      <c r="U2" s="151"/>
      <c r="V2" s="47"/>
      <c r="W2" s="151"/>
      <c r="X2" s="151"/>
      <c r="Y2" s="151"/>
      <c r="Z2" s="151"/>
      <c r="AA2" s="151"/>
      <c r="AB2" s="151"/>
      <c r="AC2" s="152"/>
      <c r="AD2" s="62"/>
      <c r="AE2" s="151"/>
      <c r="AF2" s="151"/>
      <c r="AG2" s="151"/>
      <c r="AH2" s="152"/>
      <c r="AI2" s="62"/>
      <c r="AJ2" s="151"/>
      <c r="AK2" s="151"/>
      <c r="AL2" s="151"/>
      <c r="AM2" s="151"/>
      <c r="AN2" s="62"/>
      <c r="AO2" s="151"/>
      <c r="AP2" s="151"/>
      <c r="AQ2" s="151"/>
      <c r="AR2" s="151"/>
      <c r="AS2" s="62"/>
    </row>
    <row r="3" spans="1:45" s="4" customFormat="1" ht="18.75" customHeight="1" x14ac:dyDescent="0.35">
      <c r="A3" s="137" t="s">
        <v>4</v>
      </c>
      <c r="B3" s="14"/>
      <c r="C3" s="35"/>
      <c r="D3" s="25"/>
      <c r="E3" s="88"/>
      <c r="F3" s="90"/>
      <c r="G3" s="89"/>
      <c r="H3" s="91"/>
      <c r="I3" s="93"/>
      <c r="J3" s="133" t="s">
        <v>5</v>
      </c>
      <c r="K3" s="145"/>
      <c r="L3" s="83"/>
      <c r="M3" s="83"/>
      <c r="N3" s="8"/>
      <c r="O3" s="8"/>
      <c r="P3" s="8"/>
      <c r="Q3" s="8"/>
      <c r="R3" s="15" t="s">
        <v>6</v>
      </c>
      <c r="S3" s="14"/>
      <c r="T3" s="35"/>
      <c r="U3" s="25"/>
      <c r="V3" s="53"/>
      <c r="W3" s="31"/>
      <c r="X3" s="54"/>
      <c r="Y3" s="54"/>
      <c r="Z3" s="151"/>
      <c r="AA3" s="64" t="s">
        <v>7</v>
      </c>
      <c r="AB3" s="64"/>
      <c r="AC3" s="152"/>
      <c r="AD3" s="62"/>
      <c r="AE3" s="151"/>
      <c r="AF3" s="64" t="s">
        <v>8</v>
      </c>
      <c r="AG3" s="64"/>
      <c r="AH3" s="152"/>
      <c r="AI3" s="62"/>
      <c r="AJ3" s="151"/>
      <c r="AK3" s="64" t="s">
        <v>9</v>
      </c>
      <c r="AL3" s="151"/>
      <c r="AM3" s="151"/>
      <c r="AN3" s="62"/>
      <c r="AO3" s="151"/>
      <c r="AP3" s="64" t="s">
        <v>10</v>
      </c>
      <c r="AQ3" s="151"/>
      <c r="AR3" s="151"/>
      <c r="AS3" s="62"/>
    </row>
    <row r="4" spans="1:45" s="3" customFormat="1" ht="18.75" customHeight="1" thickBot="1" x14ac:dyDescent="0.4">
      <c r="A4" s="100" t="s">
        <v>11</v>
      </c>
      <c r="B4" s="162" t="s">
        <v>12</v>
      </c>
      <c r="C4" s="164"/>
      <c r="D4" s="101" t="s">
        <v>13</v>
      </c>
      <c r="E4" s="102" t="s">
        <v>14</v>
      </c>
      <c r="F4" s="103" t="s">
        <v>15</v>
      </c>
      <c r="G4" s="103" t="s">
        <v>16</v>
      </c>
      <c r="H4" s="104" t="s">
        <v>17</v>
      </c>
      <c r="I4" s="140" t="s">
        <v>18</v>
      </c>
      <c r="J4" s="141" t="s">
        <v>14</v>
      </c>
      <c r="K4" s="146" t="s">
        <v>19</v>
      </c>
      <c r="L4" s="84" t="s">
        <v>20</v>
      </c>
      <c r="M4" s="84" t="s">
        <v>21</v>
      </c>
      <c r="N4" s="57" t="s">
        <v>22</v>
      </c>
      <c r="O4" s="57"/>
      <c r="P4" s="57"/>
      <c r="Q4" s="9"/>
      <c r="R4" s="16" t="s">
        <v>11</v>
      </c>
      <c r="S4" s="158" t="s">
        <v>12</v>
      </c>
      <c r="T4" s="163"/>
      <c r="U4" s="26" t="s">
        <v>13</v>
      </c>
      <c r="V4" s="44" t="s">
        <v>23</v>
      </c>
      <c r="W4" s="33" t="s">
        <v>15</v>
      </c>
      <c r="X4" s="43" t="s">
        <v>24</v>
      </c>
      <c r="Y4" s="43" t="s">
        <v>17</v>
      </c>
      <c r="AA4" s="65" t="s">
        <v>25</v>
      </c>
      <c r="AB4" s="76" t="s">
        <v>25</v>
      </c>
      <c r="AC4" s="77">
        <v>2116</v>
      </c>
      <c r="AD4" s="63" t="b">
        <f>EXACT(AA4,AB4)</f>
        <v>1</v>
      </c>
      <c r="AF4" s="66" t="s">
        <v>25</v>
      </c>
      <c r="AG4" s="67" t="s">
        <v>25</v>
      </c>
      <c r="AH4" s="75">
        <v>650</v>
      </c>
      <c r="AI4" s="63" t="b">
        <f>EXACT(AF4,AG4)</f>
        <v>1</v>
      </c>
      <c r="AK4" s="66" t="s">
        <v>25</v>
      </c>
      <c r="AL4" s="67" t="s">
        <v>25</v>
      </c>
      <c r="AM4" s="67">
        <v>542</v>
      </c>
      <c r="AN4" s="63" t="b">
        <f>EXACT(AK4,AL4)</f>
        <v>1</v>
      </c>
      <c r="AP4" s="66" t="s">
        <v>25</v>
      </c>
      <c r="AQ4" s="67" t="s">
        <v>25</v>
      </c>
      <c r="AR4" s="67">
        <v>650</v>
      </c>
      <c r="AS4" s="63" t="b">
        <f>EXACT(AP4,AQ4)</f>
        <v>1</v>
      </c>
    </row>
    <row r="5" spans="1:45" s="3" customFormat="1" ht="25" customHeight="1" thickTop="1" x14ac:dyDescent="0.2">
      <c r="A5" s="94" t="s">
        <v>26</v>
      </c>
      <c r="B5" s="94" t="s">
        <v>27</v>
      </c>
      <c r="C5" s="95" t="s">
        <v>28</v>
      </c>
      <c r="D5" s="96">
        <v>6.04</v>
      </c>
      <c r="E5" s="97"/>
      <c r="F5" s="98"/>
      <c r="G5" s="98"/>
      <c r="H5" s="99"/>
      <c r="I5" s="116" t="s">
        <v>29</v>
      </c>
      <c r="J5" s="131">
        <v>1.3634259259259257E-2</v>
      </c>
      <c r="K5" s="147">
        <v>32</v>
      </c>
      <c r="L5" s="85"/>
      <c r="M5" s="85"/>
      <c r="N5" s="10"/>
      <c r="O5" s="10"/>
      <c r="P5" s="10"/>
      <c r="Q5" s="10"/>
      <c r="R5" s="16" t="s">
        <v>26</v>
      </c>
      <c r="S5" s="16" t="s">
        <v>30</v>
      </c>
      <c r="T5" s="36" t="s">
        <v>29</v>
      </c>
      <c r="U5" s="55">
        <v>6.04</v>
      </c>
      <c r="V5" s="46">
        <f>AC8*1</f>
        <v>1.3703703703703704E-2</v>
      </c>
      <c r="W5" s="42">
        <f t="shared" ref="W5:W14" si="0">V5/U5</f>
        <v>2.2688251165072356E-3</v>
      </c>
      <c r="X5" s="74">
        <f>AC7</f>
        <v>43</v>
      </c>
      <c r="Y5" s="74">
        <f>AC7</f>
        <v>43</v>
      </c>
      <c r="AA5" s="65" t="s">
        <v>31</v>
      </c>
      <c r="AB5" s="76" t="s">
        <v>31</v>
      </c>
      <c r="AC5" s="78" t="s">
        <v>32</v>
      </c>
      <c r="AD5" s="63" t="b">
        <f t="shared" ref="AD5:AD39" si="1">EXACT(AA5,AB5)</f>
        <v>1</v>
      </c>
      <c r="AF5" s="66" t="s">
        <v>31</v>
      </c>
      <c r="AG5" s="67" t="s">
        <v>31</v>
      </c>
      <c r="AH5" s="75" t="s">
        <v>33</v>
      </c>
      <c r="AI5" s="63" t="b">
        <f t="shared" ref="AI5:AI34" si="2">EXACT(AF5,AG5)</f>
        <v>1</v>
      </c>
      <c r="AK5" s="66" t="s">
        <v>31</v>
      </c>
      <c r="AL5" s="67" t="s">
        <v>31</v>
      </c>
      <c r="AM5" s="67" t="s">
        <v>33</v>
      </c>
      <c r="AN5" s="63" t="b">
        <f t="shared" ref="AN5:AN34" si="3">EXACT(AK5,AL5)</f>
        <v>1</v>
      </c>
      <c r="AP5" s="66" t="s">
        <v>31</v>
      </c>
      <c r="AQ5" s="67" t="s">
        <v>31</v>
      </c>
      <c r="AR5" s="67" t="s">
        <v>33</v>
      </c>
      <c r="AS5" s="63" t="b">
        <f t="shared" ref="AS5:AS34" si="4">EXACT(AP5,AQ5)</f>
        <v>1</v>
      </c>
    </row>
    <row r="6" spans="1:45" s="3" customFormat="1" ht="25" customHeight="1" x14ac:dyDescent="0.2">
      <c r="A6" s="16" t="s">
        <v>34</v>
      </c>
      <c r="B6" s="16" t="s">
        <v>27</v>
      </c>
      <c r="C6" s="36" t="s">
        <v>35</v>
      </c>
      <c r="D6" s="26">
        <v>2.85</v>
      </c>
      <c r="E6" s="46"/>
      <c r="F6" s="42"/>
      <c r="G6" s="42"/>
      <c r="H6" s="74"/>
      <c r="I6" s="116" t="s">
        <v>36</v>
      </c>
      <c r="J6" s="131">
        <v>6.8865740740740745E-3</v>
      </c>
      <c r="K6" s="147">
        <v>40</v>
      </c>
      <c r="L6" s="85"/>
      <c r="M6" s="85"/>
      <c r="N6" s="10"/>
      <c r="O6" s="10"/>
      <c r="P6" s="10"/>
      <c r="Q6" s="10"/>
      <c r="R6" s="16" t="s">
        <v>34</v>
      </c>
      <c r="S6" s="16" t="s">
        <v>37</v>
      </c>
      <c r="T6" s="36" t="s">
        <v>36</v>
      </c>
      <c r="U6" s="26">
        <v>2.85</v>
      </c>
      <c r="V6" s="46">
        <f>AC10*1</f>
        <v>6.9328703703703696E-3</v>
      </c>
      <c r="W6" s="42">
        <f t="shared" si="0"/>
        <v>2.4325860948667963E-3</v>
      </c>
      <c r="X6" s="74">
        <f>AC9</f>
        <v>114</v>
      </c>
      <c r="Y6" s="74">
        <f>AC11</f>
        <v>56</v>
      </c>
      <c r="AA6" s="65" t="s">
        <v>38</v>
      </c>
      <c r="AB6" s="76" t="s">
        <v>38</v>
      </c>
      <c r="AC6" s="78" t="s">
        <v>39</v>
      </c>
      <c r="AD6" s="63" t="b">
        <f t="shared" si="1"/>
        <v>1</v>
      </c>
      <c r="AF6" s="66" t="s">
        <v>38</v>
      </c>
      <c r="AG6" s="67" t="s">
        <v>38</v>
      </c>
      <c r="AH6" s="75" t="s">
        <v>40</v>
      </c>
      <c r="AI6" s="63" t="b">
        <f t="shared" si="2"/>
        <v>1</v>
      </c>
      <c r="AK6" s="66" t="s">
        <v>38</v>
      </c>
      <c r="AL6" s="67" t="s">
        <v>38</v>
      </c>
      <c r="AM6" s="67" t="s">
        <v>41</v>
      </c>
      <c r="AN6" s="63" t="b">
        <f t="shared" si="3"/>
        <v>1</v>
      </c>
      <c r="AP6" s="66" t="s">
        <v>38</v>
      </c>
      <c r="AQ6" s="67" t="s">
        <v>38</v>
      </c>
      <c r="AR6" s="67" t="s">
        <v>40</v>
      </c>
      <c r="AS6" s="63" t="b">
        <f t="shared" si="4"/>
        <v>1</v>
      </c>
    </row>
    <row r="7" spans="1:45" s="3" customFormat="1" ht="25" customHeight="1" x14ac:dyDescent="0.2">
      <c r="A7" s="16" t="s">
        <v>42</v>
      </c>
      <c r="B7" s="16" t="s">
        <v>43</v>
      </c>
      <c r="C7" s="37" t="s">
        <v>44</v>
      </c>
      <c r="D7" s="26">
        <v>2.85</v>
      </c>
      <c r="E7" s="46"/>
      <c r="F7" s="42"/>
      <c r="G7" s="42"/>
      <c r="H7" s="74"/>
      <c r="I7" s="116" t="s">
        <v>45</v>
      </c>
      <c r="J7" s="131">
        <v>7.013888888888889E-3</v>
      </c>
      <c r="K7" s="147">
        <v>43</v>
      </c>
      <c r="L7" s="85"/>
      <c r="M7" s="85"/>
      <c r="N7" s="10"/>
      <c r="O7" s="10"/>
      <c r="P7" s="10"/>
      <c r="Q7" s="10"/>
      <c r="R7" s="16" t="s">
        <v>42</v>
      </c>
      <c r="S7" s="16" t="s">
        <v>27</v>
      </c>
      <c r="T7" s="37" t="s">
        <v>45</v>
      </c>
      <c r="U7" s="26">
        <v>2.85</v>
      </c>
      <c r="V7" s="46">
        <f>AC14*1</f>
        <v>6.4814814814814813E-3</v>
      </c>
      <c r="W7" s="42">
        <f t="shared" si="0"/>
        <v>2.2742040285899934E-3</v>
      </c>
      <c r="X7" s="74">
        <f>AC13</f>
        <v>25</v>
      </c>
      <c r="Y7" s="74">
        <f>AC15</f>
        <v>50</v>
      </c>
      <c r="AA7" s="65" t="s">
        <v>46</v>
      </c>
      <c r="AB7" s="76" t="s">
        <v>46</v>
      </c>
      <c r="AC7" s="77">
        <v>43</v>
      </c>
      <c r="AD7" s="63" t="b">
        <f t="shared" si="1"/>
        <v>1</v>
      </c>
      <c r="AF7" s="66" t="s">
        <v>46</v>
      </c>
      <c r="AG7" s="67" t="s">
        <v>46</v>
      </c>
      <c r="AH7" s="75">
        <v>2</v>
      </c>
      <c r="AI7" s="63" t="b">
        <f t="shared" si="2"/>
        <v>1</v>
      </c>
      <c r="AK7" s="66" t="s">
        <v>46</v>
      </c>
      <c r="AL7" s="67" t="s">
        <v>46</v>
      </c>
      <c r="AM7" s="67">
        <v>45</v>
      </c>
      <c r="AN7" s="63" t="b">
        <f t="shared" si="3"/>
        <v>1</v>
      </c>
      <c r="AP7" s="66" t="s">
        <v>46</v>
      </c>
      <c r="AQ7" s="67" t="s">
        <v>46</v>
      </c>
      <c r="AR7" s="67">
        <v>2</v>
      </c>
      <c r="AS7" s="63" t="b">
        <f t="shared" si="4"/>
        <v>1</v>
      </c>
    </row>
    <row r="8" spans="1:45" s="3" customFormat="1" ht="25" customHeight="1" x14ac:dyDescent="0.2">
      <c r="A8" s="16" t="s">
        <v>47</v>
      </c>
      <c r="B8" s="16" t="s">
        <v>48</v>
      </c>
      <c r="C8" s="36" t="s">
        <v>49</v>
      </c>
      <c r="D8" s="26">
        <v>2.85</v>
      </c>
      <c r="E8" s="46"/>
      <c r="F8" s="42"/>
      <c r="G8" s="42"/>
      <c r="H8" s="74"/>
      <c r="I8" s="116" t="s">
        <v>50</v>
      </c>
      <c r="J8" s="131">
        <v>6.2962962962962964E-3</v>
      </c>
      <c r="K8" s="147">
        <v>27</v>
      </c>
      <c r="L8" s="85"/>
      <c r="M8" s="85"/>
      <c r="N8" s="10"/>
      <c r="O8" s="10"/>
      <c r="P8" s="10"/>
      <c r="Q8" s="10"/>
      <c r="R8" s="16" t="s">
        <v>47</v>
      </c>
      <c r="S8" s="16" t="s">
        <v>51</v>
      </c>
      <c r="T8" s="36" t="s">
        <v>50</v>
      </c>
      <c r="U8" s="26">
        <v>2.85</v>
      </c>
      <c r="V8" s="46">
        <f>AC18*1</f>
        <v>1.1979166666666666E-2</v>
      </c>
      <c r="W8" s="42">
        <f t="shared" si="0"/>
        <v>4.2032163742690056E-3</v>
      </c>
      <c r="X8" s="74">
        <f>AC17</f>
        <v>28</v>
      </c>
      <c r="Y8" s="74">
        <f>AC19</f>
        <v>37</v>
      </c>
      <c r="AA8" s="65" t="s">
        <v>52</v>
      </c>
      <c r="AB8" s="76" t="s">
        <v>52</v>
      </c>
      <c r="AC8" s="78" t="s">
        <v>53</v>
      </c>
      <c r="AD8" s="63" t="b">
        <f t="shared" si="1"/>
        <v>1</v>
      </c>
      <c r="AF8" s="68" t="s">
        <v>52</v>
      </c>
      <c r="AG8" s="69" t="s">
        <v>52</v>
      </c>
      <c r="AH8" s="75" t="s">
        <v>54</v>
      </c>
      <c r="AI8" s="63" t="b">
        <f t="shared" si="2"/>
        <v>1</v>
      </c>
      <c r="AK8" s="66" t="s">
        <v>52</v>
      </c>
      <c r="AL8" s="67" t="s">
        <v>52</v>
      </c>
      <c r="AM8" s="67" t="s">
        <v>55</v>
      </c>
      <c r="AN8" s="63" t="b">
        <f t="shared" si="3"/>
        <v>1</v>
      </c>
      <c r="AP8" s="68" t="s">
        <v>52</v>
      </c>
      <c r="AQ8" s="69" t="s">
        <v>52</v>
      </c>
      <c r="AR8" s="69" t="s">
        <v>54</v>
      </c>
      <c r="AS8" s="63" t="b">
        <f t="shared" si="4"/>
        <v>1</v>
      </c>
    </row>
    <row r="9" spans="1:45" s="3" customFormat="1" ht="25" customHeight="1" x14ac:dyDescent="0.2">
      <c r="A9" s="16" t="s">
        <v>56</v>
      </c>
      <c r="B9" s="16" t="s">
        <v>57</v>
      </c>
      <c r="C9" s="36" t="s">
        <v>58</v>
      </c>
      <c r="D9" s="26">
        <v>2.85</v>
      </c>
      <c r="E9" s="46"/>
      <c r="F9" s="42"/>
      <c r="G9" s="42"/>
      <c r="H9" s="74"/>
      <c r="I9" s="116" t="s">
        <v>59</v>
      </c>
      <c r="J9" s="131">
        <v>6.9097222222222199E-3</v>
      </c>
      <c r="K9" s="147">
        <v>30</v>
      </c>
      <c r="L9" s="85"/>
      <c r="M9" s="85"/>
      <c r="N9" s="10"/>
      <c r="O9" s="10"/>
      <c r="P9" s="10"/>
      <c r="Q9" s="10"/>
      <c r="R9" s="16" t="s">
        <v>56</v>
      </c>
      <c r="S9" s="16" t="s">
        <v>60</v>
      </c>
      <c r="T9" s="36" t="s">
        <v>59</v>
      </c>
      <c r="U9" s="26">
        <v>2.85</v>
      </c>
      <c r="V9" s="46">
        <f>AC22*1</f>
        <v>6.8634259259259256E-3</v>
      </c>
      <c r="W9" s="42">
        <f t="shared" si="0"/>
        <v>2.4082196231319038E-3</v>
      </c>
      <c r="X9" s="74">
        <f>AC21</f>
        <v>75</v>
      </c>
      <c r="Y9" s="74">
        <f>AC23</f>
        <v>39</v>
      </c>
      <c r="AA9" s="65" t="s">
        <v>61</v>
      </c>
      <c r="AB9" s="76" t="s">
        <v>61</v>
      </c>
      <c r="AC9" s="77">
        <v>114</v>
      </c>
      <c r="AD9" s="63" t="b">
        <f t="shared" si="1"/>
        <v>1</v>
      </c>
      <c r="AF9" s="66" t="s">
        <v>61</v>
      </c>
      <c r="AG9" s="67" t="s">
        <v>61</v>
      </c>
      <c r="AH9" s="75">
        <v>14</v>
      </c>
      <c r="AI9" s="63" t="b">
        <f t="shared" si="2"/>
        <v>1</v>
      </c>
      <c r="AK9" s="66" t="s">
        <v>61</v>
      </c>
      <c r="AL9" s="67" t="s">
        <v>61</v>
      </c>
      <c r="AM9" s="67">
        <v>41</v>
      </c>
      <c r="AN9" s="63" t="b">
        <f t="shared" si="3"/>
        <v>1</v>
      </c>
      <c r="AP9" s="66" t="s">
        <v>61</v>
      </c>
      <c r="AQ9" s="67" t="s">
        <v>61</v>
      </c>
      <c r="AR9" s="67">
        <v>14</v>
      </c>
      <c r="AS9" s="63" t="b">
        <f t="shared" si="4"/>
        <v>1</v>
      </c>
    </row>
    <row r="10" spans="1:45" s="3" customFormat="1" ht="25" customHeight="1" x14ac:dyDescent="0.2">
      <c r="A10" s="16" t="s">
        <v>62</v>
      </c>
      <c r="B10" s="16" t="s">
        <v>63</v>
      </c>
      <c r="C10" s="36" t="s">
        <v>64</v>
      </c>
      <c r="D10" s="26">
        <v>2.85</v>
      </c>
      <c r="E10" s="46"/>
      <c r="F10" s="42"/>
      <c r="G10" s="42"/>
      <c r="H10" s="74"/>
      <c r="I10" s="116" t="s">
        <v>65</v>
      </c>
      <c r="J10" s="131">
        <v>7.3263888888888962E-3</v>
      </c>
      <c r="K10" s="147">
        <v>33</v>
      </c>
      <c r="L10" s="79"/>
      <c r="M10" s="79"/>
      <c r="N10" s="10"/>
      <c r="O10" s="10"/>
      <c r="P10" s="10"/>
      <c r="Q10" s="10"/>
      <c r="R10" s="16" t="s">
        <v>62</v>
      </c>
      <c r="S10" s="16" t="s">
        <v>66</v>
      </c>
      <c r="T10" s="36" t="s">
        <v>65</v>
      </c>
      <c r="U10" s="26">
        <v>2.85</v>
      </c>
      <c r="V10" s="46">
        <f>AC27*1</f>
        <v>7.3842592592592597E-3</v>
      </c>
      <c r="W10" s="42">
        <f t="shared" si="0"/>
        <v>2.5909681611435997E-3</v>
      </c>
      <c r="X10" s="74">
        <f>AC26</f>
        <v>149</v>
      </c>
      <c r="Y10" s="74">
        <f>AC28</f>
        <v>57</v>
      </c>
      <c r="AA10" s="65" t="s">
        <v>67</v>
      </c>
      <c r="AB10" s="76" t="s">
        <v>67</v>
      </c>
      <c r="AC10" s="78" t="s">
        <v>68</v>
      </c>
      <c r="AD10" s="63" t="b">
        <f t="shared" si="1"/>
        <v>1</v>
      </c>
      <c r="AF10" s="68" t="s">
        <v>67</v>
      </c>
      <c r="AG10" s="69" t="s">
        <v>67</v>
      </c>
      <c r="AH10" s="75" t="s">
        <v>69</v>
      </c>
      <c r="AI10" s="63" t="b">
        <f t="shared" si="2"/>
        <v>1</v>
      </c>
      <c r="AK10" s="66" t="s">
        <v>67</v>
      </c>
      <c r="AL10" s="67" t="s">
        <v>67</v>
      </c>
      <c r="AM10" s="67" t="s">
        <v>70</v>
      </c>
      <c r="AN10" s="63" t="b">
        <f t="shared" si="3"/>
        <v>1</v>
      </c>
      <c r="AP10" s="68" t="s">
        <v>67</v>
      </c>
      <c r="AQ10" s="69" t="s">
        <v>67</v>
      </c>
      <c r="AR10" s="69" t="s">
        <v>69</v>
      </c>
      <c r="AS10" s="63" t="b">
        <f t="shared" si="4"/>
        <v>1</v>
      </c>
    </row>
    <row r="11" spans="1:45" s="3" customFormat="1" ht="25" customHeight="1" x14ac:dyDescent="0.2">
      <c r="A11" s="16" t="s">
        <v>71</v>
      </c>
      <c r="B11" s="16" t="s">
        <v>72</v>
      </c>
      <c r="C11" s="36" t="s">
        <v>50</v>
      </c>
      <c r="D11" s="26">
        <v>2.85</v>
      </c>
      <c r="E11" s="46"/>
      <c r="F11" s="42"/>
      <c r="G11" s="42"/>
      <c r="H11" s="74"/>
      <c r="I11" s="116" t="s">
        <v>73</v>
      </c>
      <c r="J11" s="131">
        <v>7.1759259259259259E-3</v>
      </c>
      <c r="K11" s="147">
        <v>37</v>
      </c>
      <c r="L11" s="79"/>
      <c r="M11" s="79"/>
      <c r="N11" s="10"/>
      <c r="O11" s="10"/>
      <c r="P11" s="10"/>
      <c r="Q11" s="10"/>
      <c r="R11" s="16" t="s">
        <v>71</v>
      </c>
      <c r="S11" s="16" t="s">
        <v>74</v>
      </c>
      <c r="T11" s="36" t="s">
        <v>73</v>
      </c>
      <c r="U11" s="26">
        <v>2.85</v>
      </c>
      <c r="V11" s="46">
        <f>AC31*1</f>
        <v>7.0486111111111105E-3</v>
      </c>
      <c r="W11" s="42">
        <f t="shared" si="0"/>
        <v>2.4731968810916176E-3</v>
      </c>
      <c r="X11" s="74">
        <f>AC30</f>
        <v>89</v>
      </c>
      <c r="Y11" s="74">
        <f>AC32</f>
        <v>60</v>
      </c>
      <c r="AA11" s="65" t="s">
        <v>75</v>
      </c>
      <c r="AB11" s="76" t="s">
        <v>75</v>
      </c>
      <c r="AC11" s="77">
        <v>56</v>
      </c>
      <c r="AD11" s="63" t="b">
        <f t="shared" si="1"/>
        <v>1</v>
      </c>
      <c r="AF11" s="66" t="s">
        <v>75</v>
      </c>
      <c r="AG11" s="67" t="s">
        <v>75</v>
      </c>
      <c r="AH11" s="75">
        <v>2</v>
      </c>
      <c r="AI11" s="63" t="b">
        <f t="shared" si="2"/>
        <v>1</v>
      </c>
      <c r="AK11" s="66" t="s">
        <v>75</v>
      </c>
      <c r="AL11" s="67" t="s">
        <v>75</v>
      </c>
      <c r="AM11" s="67">
        <v>44</v>
      </c>
      <c r="AN11" s="63" t="b">
        <f t="shared" si="3"/>
        <v>1</v>
      </c>
      <c r="AP11" s="66" t="s">
        <v>75</v>
      </c>
      <c r="AQ11" s="67" t="s">
        <v>75</v>
      </c>
      <c r="AR11" s="67">
        <v>2</v>
      </c>
      <c r="AS11" s="63" t="b">
        <f t="shared" si="4"/>
        <v>1</v>
      </c>
    </row>
    <row r="12" spans="1:45" s="3" customFormat="1" ht="25" customHeight="1" thickBot="1" x14ac:dyDescent="0.25">
      <c r="A12" s="40" t="s">
        <v>76</v>
      </c>
      <c r="B12" s="40" t="s">
        <v>30</v>
      </c>
      <c r="C12" s="41" t="s">
        <v>77</v>
      </c>
      <c r="D12" s="56">
        <v>2.89</v>
      </c>
      <c r="E12" s="105"/>
      <c r="F12" s="106"/>
      <c r="G12" s="106"/>
      <c r="H12" s="107"/>
      <c r="I12" s="116" t="s">
        <v>78</v>
      </c>
      <c r="J12" s="131">
        <v>7.2337962962962963E-3</v>
      </c>
      <c r="K12" s="147">
        <v>43</v>
      </c>
      <c r="L12" s="79"/>
      <c r="M12" s="79"/>
      <c r="N12" s="10"/>
      <c r="O12" s="10"/>
      <c r="P12" s="10"/>
      <c r="Q12" s="10"/>
      <c r="R12" s="40" t="s">
        <v>76</v>
      </c>
      <c r="S12" s="40" t="s">
        <v>79</v>
      </c>
      <c r="T12" s="41" t="s">
        <v>78</v>
      </c>
      <c r="U12" s="56">
        <v>2.89</v>
      </c>
      <c r="V12" s="46">
        <f>AC35*1</f>
        <v>1.247685185185185E-2</v>
      </c>
      <c r="W12" s="42">
        <f t="shared" si="0"/>
        <v>4.3172497757272832E-3</v>
      </c>
      <c r="X12" s="74">
        <f>AC34</f>
        <v>47</v>
      </c>
      <c r="Y12" s="74">
        <f>AC36</f>
        <v>56</v>
      </c>
      <c r="AA12" s="65" t="s">
        <v>80</v>
      </c>
      <c r="AB12" s="76" t="s">
        <v>80</v>
      </c>
      <c r="AC12" s="78" t="s">
        <v>81</v>
      </c>
      <c r="AD12" s="63" t="b">
        <f t="shared" si="1"/>
        <v>1</v>
      </c>
      <c r="AF12" s="68" t="s">
        <v>80</v>
      </c>
      <c r="AG12" s="69" t="s">
        <v>80</v>
      </c>
      <c r="AH12" s="75" t="s">
        <v>82</v>
      </c>
      <c r="AI12" s="63" t="b">
        <f t="shared" si="2"/>
        <v>1</v>
      </c>
      <c r="AK12" s="66" t="s">
        <v>80</v>
      </c>
      <c r="AL12" s="67" t="s">
        <v>80</v>
      </c>
      <c r="AM12" s="67" t="s">
        <v>83</v>
      </c>
      <c r="AN12" s="63" t="b">
        <f t="shared" si="3"/>
        <v>1</v>
      </c>
      <c r="AP12" s="68" t="s">
        <v>80</v>
      </c>
      <c r="AQ12" s="69" t="s">
        <v>80</v>
      </c>
      <c r="AR12" s="69" t="s">
        <v>82</v>
      </c>
      <c r="AS12" s="63" t="b">
        <f t="shared" si="4"/>
        <v>1</v>
      </c>
    </row>
    <row r="13" spans="1:45" s="3" customFormat="1" ht="25" customHeight="1" thickTop="1" thickBot="1" x14ac:dyDescent="0.25">
      <c r="A13" s="160" t="s">
        <v>84</v>
      </c>
      <c r="B13" s="161"/>
      <c r="C13" s="161"/>
      <c r="D13" s="111">
        <f>SUM(D5:D12)</f>
        <v>26.030000000000005</v>
      </c>
      <c r="E13" s="112" t="s">
        <v>85</v>
      </c>
      <c r="F13" s="113"/>
      <c r="G13" s="114"/>
      <c r="H13" s="115" t="s">
        <v>86</v>
      </c>
      <c r="I13" s="130" t="s">
        <v>87</v>
      </c>
      <c r="J13" s="130"/>
      <c r="K13" s="147"/>
      <c r="L13" s="79"/>
      <c r="M13" s="79"/>
      <c r="N13" s="10"/>
      <c r="O13" s="10"/>
      <c r="P13" s="10"/>
      <c r="Q13" s="10"/>
      <c r="R13" s="159" t="s">
        <v>84</v>
      </c>
      <c r="S13" s="159"/>
      <c r="T13" s="159"/>
      <c r="U13" s="51">
        <f>SUM(U5:U12)</f>
        <v>26.030000000000005</v>
      </c>
      <c r="V13" s="50">
        <f>SUM(V5:V12)</f>
        <v>7.2870370370370363E-2</v>
      </c>
      <c r="W13" s="49">
        <f t="shared" si="0"/>
        <v>2.7994763876438857E-3</v>
      </c>
      <c r="X13" s="154" t="str">
        <f>Y12&amp;"位/174"</f>
        <v>56位/174</v>
      </c>
      <c r="Y13" s="155"/>
      <c r="AA13" s="65" t="s">
        <v>88</v>
      </c>
      <c r="AB13" s="76" t="s">
        <v>88</v>
      </c>
      <c r="AC13" s="77">
        <v>25</v>
      </c>
      <c r="AD13" s="63" t="b">
        <f t="shared" si="1"/>
        <v>1</v>
      </c>
      <c r="AF13" s="66" t="s">
        <v>88</v>
      </c>
      <c r="AG13" s="67" t="s">
        <v>88</v>
      </c>
      <c r="AH13" s="75">
        <v>12</v>
      </c>
      <c r="AI13" s="63" t="b">
        <f t="shared" si="2"/>
        <v>1</v>
      </c>
      <c r="AK13" s="66" t="s">
        <v>88</v>
      </c>
      <c r="AL13" s="67" t="s">
        <v>88</v>
      </c>
      <c r="AM13" s="67">
        <v>43</v>
      </c>
      <c r="AN13" s="63" t="b">
        <f t="shared" si="3"/>
        <v>1</v>
      </c>
      <c r="AP13" s="66" t="s">
        <v>88</v>
      </c>
      <c r="AQ13" s="67" t="s">
        <v>88</v>
      </c>
      <c r="AR13" s="67">
        <v>12</v>
      </c>
      <c r="AS13" s="63" t="b">
        <f t="shared" si="4"/>
        <v>1</v>
      </c>
    </row>
    <row r="14" spans="1:45" s="3" customFormat="1" ht="15" hidden="1" customHeight="1" x14ac:dyDescent="0.2">
      <c r="A14" s="153"/>
      <c r="B14" s="153"/>
      <c r="C14" s="153"/>
      <c r="D14" s="108"/>
      <c r="E14" s="109"/>
      <c r="F14" s="110"/>
      <c r="G14" s="110"/>
      <c r="H14" s="92"/>
      <c r="I14" s="131"/>
      <c r="J14" s="131"/>
      <c r="K14" s="147"/>
      <c r="L14" s="81"/>
      <c r="M14" s="81"/>
      <c r="N14" s="48"/>
      <c r="O14" s="48"/>
      <c r="P14" s="48"/>
      <c r="Q14" s="48"/>
      <c r="R14" s="156" t="s">
        <v>89</v>
      </c>
      <c r="S14" s="156"/>
      <c r="T14" s="156"/>
      <c r="U14" s="58">
        <v>22.5</v>
      </c>
      <c r="V14" s="59">
        <v>5.7905092592592598E-2</v>
      </c>
      <c r="W14" s="60">
        <f t="shared" si="0"/>
        <v>2.5735596707818931E-3</v>
      </c>
      <c r="X14" s="157" t="s">
        <v>90</v>
      </c>
      <c r="Y14" s="157"/>
      <c r="AA14" s="65" t="s">
        <v>91</v>
      </c>
      <c r="AB14" s="76" t="s">
        <v>91</v>
      </c>
      <c r="AC14" s="78" t="s">
        <v>92</v>
      </c>
      <c r="AD14" s="63" t="b">
        <f t="shared" si="1"/>
        <v>1</v>
      </c>
      <c r="AF14" s="68" t="s">
        <v>91</v>
      </c>
      <c r="AG14" s="69" t="s">
        <v>91</v>
      </c>
      <c r="AH14" s="75" t="s">
        <v>93</v>
      </c>
      <c r="AI14" s="63" t="b">
        <f t="shared" si="2"/>
        <v>1</v>
      </c>
      <c r="AK14" s="66" t="s">
        <v>91</v>
      </c>
      <c r="AL14" s="67" t="s">
        <v>91</v>
      </c>
      <c r="AM14" s="67" t="s">
        <v>94</v>
      </c>
      <c r="AN14" s="63" t="b">
        <f t="shared" si="3"/>
        <v>1</v>
      </c>
      <c r="AP14" s="68" t="s">
        <v>91</v>
      </c>
      <c r="AQ14" s="69" t="s">
        <v>91</v>
      </c>
      <c r="AR14" s="69" t="s">
        <v>93</v>
      </c>
      <c r="AS14" s="63" t="b">
        <f t="shared" si="4"/>
        <v>1</v>
      </c>
    </row>
    <row r="15" spans="1:45" s="3" customFormat="1" ht="9" customHeight="1" thickTop="1" x14ac:dyDescent="0.2">
      <c r="A15" s="17"/>
      <c r="B15" s="14"/>
      <c r="C15" s="35"/>
      <c r="D15" s="25"/>
      <c r="E15" s="19"/>
      <c r="F15" s="17"/>
      <c r="G15" s="17"/>
      <c r="H15" s="18"/>
      <c r="I15" s="131"/>
      <c r="J15" s="131"/>
      <c r="K15" s="144"/>
      <c r="L15" s="81"/>
      <c r="M15" s="81"/>
      <c r="N15" s="6"/>
      <c r="O15" s="6"/>
      <c r="P15" s="6"/>
      <c r="Q15" s="6"/>
      <c r="R15" s="17"/>
      <c r="S15" s="14"/>
      <c r="T15" s="35"/>
      <c r="U15" s="25"/>
      <c r="V15" s="19"/>
      <c r="W15" s="17"/>
      <c r="X15" s="18"/>
      <c r="Y15" s="18"/>
      <c r="AA15" s="65" t="s">
        <v>95</v>
      </c>
      <c r="AB15" s="76" t="s">
        <v>95</v>
      </c>
      <c r="AC15" s="77">
        <v>50</v>
      </c>
      <c r="AD15" s="63" t="b">
        <f t="shared" si="1"/>
        <v>1</v>
      </c>
      <c r="AF15" s="66" t="s">
        <v>95</v>
      </c>
      <c r="AG15" s="67" t="s">
        <v>95</v>
      </c>
      <c r="AH15" s="75">
        <v>4</v>
      </c>
      <c r="AI15" s="63" t="b">
        <f t="shared" si="2"/>
        <v>1</v>
      </c>
      <c r="AK15" s="66" t="s">
        <v>95</v>
      </c>
      <c r="AL15" s="67" t="s">
        <v>95</v>
      </c>
      <c r="AM15" s="67">
        <v>44</v>
      </c>
      <c r="AN15" s="63" t="b">
        <f t="shared" si="3"/>
        <v>1</v>
      </c>
      <c r="AP15" s="66" t="s">
        <v>95</v>
      </c>
      <c r="AQ15" s="67" t="s">
        <v>95</v>
      </c>
      <c r="AR15" s="67">
        <v>4</v>
      </c>
      <c r="AS15" s="63" t="b">
        <f t="shared" si="4"/>
        <v>1</v>
      </c>
    </row>
    <row r="16" spans="1:45" s="4" customFormat="1" ht="18.75" customHeight="1" x14ac:dyDescent="0.35">
      <c r="A16" s="137" t="s">
        <v>96</v>
      </c>
      <c r="B16" s="14"/>
      <c r="C16" s="35"/>
      <c r="D16" s="25"/>
      <c r="E16" s="53"/>
      <c r="F16" s="31"/>
      <c r="G16" s="31"/>
      <c r="H16" s="54"/>
      <c r="I16" s="131"/>
      <c r="J16" s="131"/>
      <c r="K16" s="145"/>
      <c r="L16" s="83"/>
      <c r="M16" s="83"/>
      <c r="N16" s="8"/>
      <c r="O16" s="8"/>
      <c r="P16" s="8"/>
      <c r="Q16" s="8"/>
      <c r="R16" s="15" t="s">
        <v>97</v>
      </c>
      <c r="S16" s="14"/>
      <c r="T16" s="35"/>
      <c r="U16" s="25"/>
      <c r="V16" s="53"/>
      <c r="W16" s="31"/>
      <c r="X16" s="54"/>
      <c r="Y16" s="54"/>
      <c r="Z16" s="151"/>
      <c r="AA16" s="65" t="s">
        <v>98</v>
      </c>
      <c r="AB16" s="76" t="s">
        <v>98</v>
      </c>
      <c r="AC16" s="78" t="s">
        <v>99</v>
      </c>
      <c r="AD16" s="63" t="b">
        <f t="shared" si="1"/>
        <v>1</v>
      </c>
      <c r="AE16" s="151"/>
      <c r="AF16" s="68" t="s">
        <v>98</v>
      </c>
      <c r="AG16" s="69" t="s">
        <v>98</v>
      </c>
      <c r="AH16" s="75" t="s">
        <v>100</v>
      </c>
      <c r="AI16" s="63" t="b">
        <f t="shared" si="2"/>
        <v>1</v>
      </c>
      <c r="AJ16" s="151"/>
      <c r="AK16" s="66" t="s">
        <v>98</v>
      </c>
      <c r="AL16" s="67" t="s">
        <v>98</v>
      </c>
      <c r="AM16" s="67" t="s">
        <v>101</v>
      </c>
      <c r="AN16" s="63" t="b">
        <f t="shared" si="3"/>
        <v>1</v>
      </c>
      <c r="AO16" s="151"/>
      <c r="AP16" s="68" t="s">
        <v>98</v>
      </c>
      <c r="AQ16" s="69" t="s">
        <v>98</v>
      </c>
      <c r="AR16" s="69" t="s">
        <v>100</v>
      </c>
      <c r="AS16" s="63" t="b">
        <f t="shared" si="4"/>
        <v>1</v>
      </c>
    </row>
    <row r="17" spans="1:45" s="3" customFormat="1" ht="18.75" customHeight="1" thickBot="1" x14ac:dyDescent="0.25">
      <c r="A17" s="100" t="s">
        <v>11</v>
      </c>
      <c r="B17" s="162" t="s">
        <v>12</v>
      </c>
      <c r="C17" s="164"/>
      <c r="D17" s="101" t="s">
        <v>13</v>
      </c>
      <c r="E17" s="102" t="s">
        <v>14</v>
      </c>
      <c r="F17" s="103" t="s">
        <v>15</v>
      </c>
      <c r="G17" s="103" t="s">
        <v>16</v>
      </c>
      <c r="H17" s="104" t="s">
        <v>17</v>
      </c>
      <c r="I17" s="135" t="s">
        <v>18</v>
      </c>
      <c r="J17" s="136" t="s">
        <v>14</v>
      </c>
      <c r="K17" s="147" t="s">
        <v>19</v>
      </c>
      <c r="L17" s="84"/>
      <c r="M17" s="84"/>
      <c r="N17" s="57" t="s">
        <v>102</v>
      </c>
      <c r="O17" s="57"/>
      <c r="P17" s="57"/>
      <c r="Q17" s="9"/>
      <c r="R17" s="16" t="s">
        <v>11</v>
      </c>
      <c r="S17" s="158" t="s">
        <v>12</v>
      </c>
      <c r="T17" s="163"/>
      <c r="U17" s="26" t="s">
        <v>13</v>
      </c>
      <c r="V17" s="44" t="s">
        <v>23</v>
      </c>
      <c r="W17" s="33" t="s">
        <v>15</v>
      </c>
      <c r="X17" s="43" t="s">
        <v>24</v>
      </c>
      <c r="Y17" s="43" t="s">
        <v>17</v>
      </c>
      <c r="AA17" s="65" t="s">
        <v>103</v>
      </c>
      <c r="AB17" s="76" t="s">
        <v>103</v>
      </c>
      <c r="AC17" s="77">
        <v>28</v>
      </c>
      <c r="AD17" s="63" t="b">
        <f t="shared" si="1"/>
        <v>1</v>
      </c>
      <c r="AF17" s="66" t="s">
        <v>103</v>
      </c>
      <c r="AG17" s="67" t="s">
        <v>103</v>
      </c>
      <c r="AH17" s="75">
        <v>17</v>
      </c>
      <c r="AI17" s="63" t="b">
        <f t="shared" si="2"/>
        <v>1</v>
      </c>
      <c r="AK17" s="66" t="s">
        <v>103</v>
      </c>
      <c r="AL17" s="67" t="s">
        <v>103</v>
      </c>
      <c r="AM17" s="67">
        <v>43</v>
      </c>
      <c r="AN17" s="63" t="b">
        <f t="shared" si="3"/>
        <v>1</v>
      </c>
      <c r="AP17" s="66" t="s">
        <v>103</v>
      </c>
      <c r="AQ17" s="67" t="s">
        <v>103</v>
      </c>
      <c r="AR17" s="67">
        <v>17</v>
      </c>
      <c r="AS17" s="63" t="b">
        <f t="shared" si="4"/>
        <v>1</v>
      </c>
    </row>
    <row r="18" spans="1:45" s="3" customFormat="1" ht="25" customHeight="1" thickTop="1" x14ac:dyDescent="0.2">
      <c r="A18" s="94" t="s">
        <v>26</v>
      </c>
      <c r="B18" s="94" t="s">
        <v>30</v>
      </c>
      <c r="C18" s="95" t="s">
        <v>104</v>
      </c>
      <c r="D18" s="96">
        <v>2.91</v>
      </c>
      <c r="E18" s="97"/>
      <c r="F18" s="98"/>
      <c r="G18" s="98"/>
      <c r="H18" s="99"/>
      <c r="I18" s="116" t="s">
        <v>105</v>
      </c>
      <c r="J18" s="131">
        <v>8.8310185185185176E-3</v>
      </c>
      <c r="K18" s="147">
        <v>10</v>
      </c>
      <c r="L18" s="85"/>
      <c r="M18" s="85"/>
      <c r="N18" s="10"/>
      <c r="O18" s="10"/>
      <c r="P18" s="10"/>
      <c r="Q18" s="10"/>
      <c r="R18" s="16" t="s">
        <v>26</v>
      </c>
      <c r="S18" s="16" t="s">
        <v>106</v>
      </c>
      <c r="T18" s="36" t="s">
        <v>105</v>
      </c>
      <c r="U18" s="55">
        <v>2.91</v>
      </c>
      <c r="V18" s="46">
        <f>AH8*1</f>
        <v>6.3425925925925915E-3</v>
      </c>
      <c r="W18" s="42">
        <f t="shared" ref="W18:W27" si="5">V18/U18</f>
        <v>2.1795850833651515E-3</v>
      </c>
      <c r="X18" s="45">
        <f>AH7</f>
        <v>2</v>
      </c>
      <c r="Y18" s="45">
        <f>AH7</f>
        <v>2</v>
      </c>
      <c r="AA18" s="65" t="s">
        <v>107</v>
      </c>
      <c r="AB18" s="76" t="s">
        <v>107</v>
      </c>
      <c r="AC18" s="78" t="s">
        <v>108</v>
      </c>
      <c r="AD18" s="63" t="b">
        <f t="shared" si="1"/>
        <v>1</v>
      </c>
      <c r="AF18" s="68" t="s">
        <v>107</v>
      </c>
      <c r="AG18" s="69" t="s">
        <v>107</v>
      </c>
      <c r="AH18" s="75" t="s">
        <v>109</v>
      </c>
      <c r="AI18" s="63" t="b">
        <f t="shared" si="2"/>
        <v>1</v>
      </c>
      <c r="AK18" s="66" t="s">
        <v>107</v>
      </c>
      <c r="AL18" s="67" t="s">
        <v>107</v>
      </c>
      <c r="AM18" s="67" t="s">
        <v>110</v>
      </c>
      <c r="AN18" s="63" t="b">
        <f t="shared" si="3"/>
        <v>1</v>
      </c>
      <c r="AP18" s="68" t="s">
        <v>107</v>
      </c>
      <c r="AQ18" s="69" t="s">
        <v>107</v>
      </c>
      <c r="AR18" s="69" t="s">
        <v>109</v>
      </c>
      <c r="AS18" s="63" t="b">
        <f t="shared" si="4"/>
        <v>1</v>
      </c>
    </row>
    <row r="19" spans="1:45" s="3" customFormat="1" ht="25" customHeight="1" x14ac:dyDescent="0.2">
      <c r="A19" s="16" t="s">
        <v>34</v>
      </c>
      <c r="B19" s="16" t="s">
        <v>43</v>
      </c>
      <c r="C19" s="36" t="s">
        <v>111</v>
      </c>
      <c r="D19" s="26">
        <v>2.85</v>
      </c>
      <c r="E19" s="46"/>
      <c r="F19" s="42"/>
      <c r="G19" s="42"/>
      <c r="H19" s="74"/>
      <c r="I19" s="116" t="s">
        <v>112</v>
      </c>
      <c r="J19" s="131">
        <v>8.9120370370370395E-3</v>
      </c>
      <c r="K19" s="147">
        <v>8</v>
      </c>
      <c r="L19" s="85"/>
      <c r="M19" s="85"/>
      <c r="N19" s="10"/>
      <c r="O19" s="10"/>
      <c r="P19" s="10"/>
      <c r="Q19" s="10"/>
      <c r="R19" s="16" t="s">
        <v>34</v>
      </c>
      <c r="S19" s="16" t="s">
        <v>57</v>
      </c>
      <c r="T19" s="36" t="s">
        <v>112</v>
      </c>
      <c r="U19" s="26">
        <v>2.85</v>
      </c>
      <c r="V19" s="46">
        <f>AH10*1</f>
        <v>7.7314814814814815E-3</v>
      </c>
      <c r="W19" s="42">
        <f t="shared" si="5"/>
        <v>2.7128005198180636E-3</v>
      </c>
      <c r="X19" s="45">
        <f>AH9</f>
        <v>14</v>
      </c>
      <c r="Y19" s="45">
        <f>AH11</f>
        <v>2</v>
      </c>
      <c r="AA19" s="65" t="s">
        <v>113</v>
      </c>
      <c r="AB19" s="76" t="s">
        <v>113</v>
      </c>
      <c r="AC19" s="77">
        <v>37</v>
      </c>
      <c r="AD19" s="63" t="b">
        <f t="shared" si="1"/>
        <v>1</v>
      </c>
      <c r="AF19" s="66" t="s">
        <v>113</v>
      </c>
      <c r="AG19" s="67" t="s">
        <v>113</v>
      </c>
      <c r="AH19" s="75">
        <v>5</v>
      </c>
      <c r="AI19" s="63" t="b">
        <f t="shared" si="2"/>
        <v>1</v>
      </c>
      <c r="AK19" s="66" t="s">
        <v>113</v>
      </c>
      <c r="AL19" s="67" t="s">
        <v>113</v>
      </c>
      <c r="AM19" s="67">
        <v>44</v>
      </c>
      <c r="AN19" s="63" t="b">
        <f t="shared" si="3"/>
        <v>1</v>
      </c>
      <c r="AP19" s="66" t="s">
        <v>113</v>
      </c>
      <c r="AQ19" s="67" t="s">
        <v>113</v>
      </c>
      <c r="AR19" s="67">
        <v>5</v>
      </c>
      <c r="AS19" s="63" t="b">
        <f t="shared" si="4"/>
        <v>1</v>
      </c>
    </row>
    <row r="20" spans="1:45" s="3" customFormat="1" ht="25" customHeight="1" x14ac:dyDescent="0.2">
      <c r="A20" s="16" t="s">
        <v>42</v>
      </c>
      <c r="B20" s="16" t="s">
        <v>114</v>
      </c>
      <c r="C20" s="37" t="s">
        <v>115</v>
      </c>
      <c r="D20" s="26">
        <v>2.85</v>
      </c>
      <c r="E20" s="46"/>
      <c r="F20" s="42"/>
      <c r="G20" s="42"/>
      <c r="H20" s="74"/>
      <c r="I20" s="116" t="s">
        <v>116</v>
      </c>
      <c r="J20" s="131">
        <v>9.6990740740740752E-3</v>
      </c>
      <c r="K20" s="147">
        <v>10</v>
      </c>
      <c r="L20" s="85"/>
      <c r="M20" s="85"/>
      <c r="N20" s="10"/>
      <c r="O20" s="10"/>
      <c r="P20" s="10"/>
      <c r="Q20" s="10"/>
      <c r="R20" s="16" t="s">
        <v>42</v>
      </c>
      <c r="S20" s="16" t="s">
        <v>106</v>
      </c>
      <c r="T20" s="37" t="s">
        <v>116</v>
      </c>
      <c r="U20" s="26">
        <v>2.85</v>
      </c>
      <c r="V20" s="46">
        <f>AH14*1</f>
        <v>8.2291666666666659E-3</v>
      </c>
      <c r="W20" s="42">
        <f t="shared" si="5"/>
        <v>2.8874269005847949E-3</v>
      </c>
      <c r="X20" s="45">
        <f>AH13</f>
        <v>12</v>
      </c>
      <c r="Y20" s="45">
        <f>AH15</f>
        <v>4</v>
      </c>
      <c r="AA20" s="65" t="s">
        <v>117</v>
      </c>
      <c r="AB20" s="76" t="s">
        <v>117</v>
      </c>
      <c r="AC20" s="78" t="s">
        <v>118</v>
      </c>
      <c r="AD20" s="63" t="b">
        <f t="shared" si="1"/>
        <v>1</v>
      </c>
      <c r="AF20" s="68" t="s">
        <v>117</v>
      </c>
      <c r="AG20" s="69" t="s">
        <v>117</v>
      </c>
      <c r="AH20" s="75" t="s">
        <v>119</v>
      </c>
      <c r="AI20" s="63" t="b">
        <f t="shared" si="2"/>
        <v>1</v>
      </c>
      <c r="AK20" s="66" t="s">
        <v>117</v>
      </c>
      <c r="AL20" s="67" t="s">
        <v>117</v>
      </c>
      <c r="AM20" s="67" t="s">
        <v>120</v>
      </c>
      <c r="AN20" s="63" t="b">
        <f t="shared" si="3"/>
        <v>1</v>
      </c>
      <c r="AP20" s="68" t="s">
        <v>117</v>
      </c>
      <c r="AQ20" s="69" t="s">
        <v>117</v>
      </c>
      <c r="AR20" s="69" t="s">
        <v>119</v>
      </c>
      <c r="AS20" s="63" t="b">
        <f t="shared" si="4"/>
        <v>1</v>
      </c>
    </row>
    <row r="21" spans="1:45" s="3" customFormat="1" ht="25" customHeight="1" x14ac:dyDescent="0.2">
      <c r="A21" s="16" t="s">
        <v>47</v>
      </c>
      <c r="B21" s="16" t="s">
        <v>121</v>
      </c>
      <c r="C21" s="37" t="s">
        <v>122</v>
      </c>
      <c r="D21" s="26">
        <v>2.85</v>
      </c>
      <c r="E21" s="46"/>
      <c r="F21" s="42"/>
      <c r="G21" s="42"/>
      <c r="H21" s="74"/>
      <c r="I21" s="116" t="s">
        <v>123</v>
      </c>
      <c r="J21" s="131">
        <v>1.1273148148148147E-2</v>
      </c>
      <c r="K21" s="147">
        <v>13</v>
      </c>
      <c r="L21" s="85"/>
      <c r="M21" s="85"/>
      <c r="N21" s="10"/>
      <c r="O21" s="10"/>
      <c r="P21" s="10"/>
      <c r="Q21" s="10"/>
      <c r="R21" s="16" t="s">
        <v>47</v>
      </c>
      <c r="S21" s="16" t="s">
        <v>57</v>
      </c>
      <c r="T21" s="37" t="s">
        <v>123</v>
      </c>
      <c r="U21" s="26">
        <v>2.85</v>
      </c>
      <c r="V21" s="46">
        <f>AH18*1</f>
        <v>8.4027777777777781E-3</v>
      </c>
      <c r="W21" s="42">
        <f t="shared" si="5"/>
        <v>2.9483430799220273E-3</v>
      </c>
      <c r="X21" s="45">
        <f>AH17</f>
        <v>17</v>
      </c>
      <c r="Y21" s="45">
        <f>AH19</f>
        <v>5</v>
      </c>
      <c r="AA21" s="65" t="s">
        <v>124</v>
      </c>
      <c r="AB21" s="76" t="s">
        <v>124</v>
      </c>
      <c r="AC21" s="77">
        <v>75</v>
      </c>
      <c r="AD21" s="63" t="b">
        <f t="shared" si="1"/>
        <v>1</v>
      </c>
      <c r="AF21" s="66" t="s">
        <v>124</v>
      </c>
      <c r="AG21" s="67" t="s">
        <v>124</v>
      </c>
      <c r="AH21" s="75">
        <v>17</v>
      </c>
      <c r="AI21" s="63" t="b">
        <f t="shared" si="2"/>
        <v>1</v>
      </c>
      <c r="AK21" s="66" t="s">
        <v>124</v>
      </c>
      <c r="AL21" s="67" t="s">
        <v>124</v>
      </c>
      <c r="AM21" s="67">
        <v>42</v>
      </c>
      <c r="AN21" s="63" t="b">
        <f t="shared" si="3"/>
        <v>1</v>
      </c>
      <c r="AP21" s="66" t="s">
        <v>124</v>
      </c>
      <c r="AQ21" s="67" t="s">
        <v>124</v>
      </c>
      <c r="AR21" s="67">
        <v>17</v>
      </c>
      <c r="AS21" s="63" t="b">
        <f t="shared" si="4"/>
        <v>1</v>
      </c>
    </row>
    <row r="22" spans="1:45" s="3" customFormat="1" ht="25" customHeight="1" x14ac:dyDescent="0.2">
      <c r="A22" s="16" t="s">
        <v>56</v>
      </c>
      <c r="B22" s="16" t="s">
        <v>125</v>
      </c>
      <c r="C22" s="36" t="s">
        <v>126</v>
      </c>
      <c r="D22" s="26">
        <v>2.85</v>
      </c>
      <c r="E22" s="46"/>
      <c r="F22" s="42"/>
      <c r="G22" s="42"/>
      <c r="H22" s="74"/>
      <c r="I22" s="116" t="s">
        <v>127</v>
      </c>
      <c r="J22" s="131">
        <v>8.9814814814814792E-3</v>
      </c>
      <c r="K22" s="147">
        <v>11</v>
      </c>
      <c r="L22" s="79"/>
      <c r="M22" s="79"/>
      <c r="N22" s="10"/>
      <c r="O22" s="10"/>
      <c r="P22" s="10"/>
      <c r="Q22" s="10"/>
      <c r="R22" s="16" t="s">
        <v>56</v>
      </c>
      <c r="S22" s="16" t="s">
        <v>79</v>
      </c>
      <c r="T22" s="36" t="s">
        <v>127</v>
      </c>
      <c r="U22" s="26">
        <v>2.85</v>
      </c>
      <c r="V22" s="46">
        <f>AH22*1</f>
        <v>8.564814814814815E-3</v>
      </c>
      <c r="W22" s="42">
        <f t="shared" si="5"/>
        <v>3.005198180636777E-3</v>
      </c>
      <c r="X22" s="45">
        <f>AH21</f>
        <v>17</v>
      </c>
      <c r="Y22" s="45">
        <f>AH23</f>
        <v>4</v>
      </c>
      <c r="AA22" s="65" t="s">
        <v>128</v>
      </c>
      <c r="AB22" s="76" t="s">
        <v>128</v>
      </c>
      <c r="AC22" s="78" t="s">
        <v>129</v>
      </c>
      <c r="AD22" s="63" t="b">
        <f t="shared" si="1"/>
        <v>1</v>
      </c>
      <c r="AF22" s="68" t="s">
        <v>128</v>
      </c>
      <c r="AG22" s="69" t="s">
        <v>128</v>
      </c>
      <c r="AH22" s="75" t="s">
        <v>130</v>
      </c>
      <c r="AI22" s="63" t="b">
        <f t="shared" si="2"/>
        <v>1</v>
      </c>
      <c r="AK22" s="66" t="s">
        <v>128</v>
      </c>
      <c r="AL22" s="67" t="s">
        <v>128</v>
      </c>
      <c r="AM22" s="67" t="s">
        <v>131</v>
      </c>
      <c r="AN22" s="63" t="b">
        <f t="shared" si="3"/>
        <v>1</v>
      </c>
      <c r="AP22" s="68" t="s">
        <v>128</v>
      </c>
      <c r="AQ22" s="69" t="s">
        <v>128</v>
      </c>
      <c r="AR22" s="69" t="s">
        <v>130</v>
      </c>
      <c r="AS22" s="63" t="b">
        <f t="shared" si="4"/>
        <v>1</v>
      </c>
    </row>
    <row r="23" spans="1:45" s="3" customFormat="1" ht="25" customHeight="1" x14ac:dyDescent="0.2">
      <c r="A23" s="16" t="s">
        <v>62</v>
      </c>
      <c r="B23" s="16" t="s">
        <v>132</v>
      </c>
      <c r="C23" s="36" t="s">
        <v>133</v>
      </c>
      <c r="D23" s="26">
        <v>2.85</v>
      </c>
      <c r="E23" s="46"/>
      <c r="F23" s="42"/>
      <c r="G23" s="42"/>
      <c r="H23" s="74"/>
      <c r="I23" s="116" t="s">
        <v>134</v>
      </c>
      <c r="J23" s="131">
        <v>1.0879629629629628E-2</v>
      </c>
      <c r="K23" s="147">
        <v>13</v>
      </c>
      <c r="L23" s="79"/>
      <c r="M23" s="79"/>
      <c r="N23" s="10"/>
      <c r="O23" s="10"/>
      <c r="P23" s="10"/>
      <c r="Q23" s="10"/>
      <c r="R23" s="16" t="s">
        <v>62</v>
      </c>
      <c r="S23" s="16" t="s">
        <v>30</v>
      </c>
      <c r="T23" s="36" t="s">
        <v>134</v>
      </c>
      <c r="U23" s="26">
        <v>2.85</v>
      </c>
      <c r="V23" s="46">
        <f>AH27*1</f>
        <v>8.1249999999999985E-3</v>
      </c>
      <c r="W23" s="42">
        <f t="shared" si="5"/>
        <v>2.8508771929824555E-3</v>
      </c>
      <c r="X23" s="45">
        <f>AH26</f>
        <v>18</v>
      </c>
      <c r="Y23" s="45">
        <f>AH28</f>
        <v>4</v>
      </c>
      <c r="AA23" s="65" t="s">
        <v>135</v>
      </c>
      <c r="AB23" s="76" t="s">
        <v>135</v>
      </c>
      <c r="AC23" s="77">
        <v>39</v>
      </c>
      <c r="AD23" s="63" t="b">
        <f t="shared" si="1"/>
        <v>1</v>
      </c>
      <c r="AF23" s="66" t="s">
        <v>135</v>
      </c>
      <c r="AG23" s="67" t="s">
        <v>135</v>
      </c>
      <c r="AH23" s="75">
        <v>4</v>
      </c>
      <c r="AI23" s="63" t="b">
        <f t="shared" si="2"/>
        <v>1</v>
      </c>
      <c r="AK23" s="66" t="s">
        <v>135</v>
      </c>
      <c r="AL23" s="67" t="s">
        <v>135</v>
      </c>
      <c r="AM23" s="67">
        <v>42</v>
      </c>
      <c r="AN23" s="63" t="b">
        <f t="shared" si="3"/>
        <v>1</v>
      </c>
      <c r="AP23" s="66" t="s">
        <v>135</v>
      </c>
      <c r="AQ23" s="67" t="s">
        <v>135</v>
      </c>
      <c r="AR23" s="67">
        <v>4</v>
      </c>
      <c r="AS23" s="63" t="b">
        <f t="shared" si="4"/>
        <v>1</v>
      </c>
    </row>
    <row r="24" spans="1:45" s="3" customFormat="1" ht="25" customHeight="1" x14ac:dyDescent="0.2">
      <c r="A24" s="16" t="s">
        <v>71</v>
      </c>
      <c r="B24" s="16" t="s">
        <v>136</v>
      </c>
      <c r="C24" s="119" t="s">
        <v>137</v>
      </c>
      <c r="D24" s="55">
        <v>2.85</v>
      </c>
      <c r="E24" s="46"/>
      <c r="F24" s="42"/>
      <c r="G24" s="42"/>
      <c r="H24" s="74"/>
      <c r="I24" s="127" t="s">
        <v>138</v>
      </c>
      <c r="J24" s="133" t="s">
        <v>139</v>
      </c>
      <c r="K24" s="147">
        <v>11</v>
      </c>
      <c r="L24" s="79"/>
      <c r="M24" s="79"/>
      <c r="N24" s="10"/>
      <c r="O24" s="10"/>
      <c r="P24" s="10"/>
      <c r="Q24" s="10"/>
      <c r="R24" s="16" t="s">
        <v>71</v>
      </c>
      <c r="S24" s="16" t="s">
        <v>66</v>
      </c>
      <c r="T24" s="36" t="s">
        <v>138</v>
      </c>
      <c r="U24" s="55">
        <v>2.89</v>
      </c>
      <c r="V24" s="46">
        <f>AH31*1</f>
        <v>8.1249999999999985E-3</v>
      </c>
      <c r="W24" s="42">
        <f t="shared" si="5"/>
        <v>2.8114186851211065E-3</v>
      </c>
      <c r="X24" s="45">
        <f>AH30</f>
        <v>18</v>
      </c>
      <c r="Y24" s="45">
        <f>AH32</f>
        <v>4</v>
      </c>
      <c r="AA24" s="65" t="s">
        <v>140</v>
      </c>
      <c r="AB24" s="76" t="s">
        <v>140</v>
      </c>
      <c r="AC24" s="78" t="s">
        <v>141</v>
      </c>
      <c r="AD24" s="63" t="b">
        <f t="shared" si="1"/>
        <v>1</v>
      </c>
      <c r="AF24" s="66" t="s">
        <v>140</v>
      </c>
      <c r="AG24" s="67" t="s">
        <v>140</v>
      </c>
      <c r="AH24" s="75" t="s">
        <v>142</v>
      </c>
      <c r="AI24" s="63" t="b">
        <f t="shared" si="2"/>
        <v>1</v>
      </c>
      <c r="AK24" s="66" t="s">
        <v>140</v>
      </c>
      <c r="AL24" s="67" t="s">
        <v>140</v>
      </c>
      <c r="AM24" s="67" t="s">
        <v>143</v>
      </c>
      <c r="AN24" s="63" t="b">
        <f t="shared" si="3"/>
        <v>1</v>
      </c>
      <c r="AP24" s="66" t="s">
        <v>140</v>
      </c>
      <c r="AQ24" s="67" t="s">
        <v>140</v>
      </c>
      <c r="AR24" s="67" t="s">
        <v>142</v>
      </c>
      <c r="AS24" s="63" t="b">
        <f t="shared" si="4"/>
        <v>1</v>
      </c>
    </row>
    <row r="25" spans="1:45" s="3" customFormat="1" ht="25" customHeight="1" thickBot="1" x14ac:dyDescent="0.25">
      <c r="A25" s="40" t="s">
        <v>76</v>
      </c>
      <c r="B25" s="40" t="s">
        <v>27</v>
      </c>
      <c r="C25" s="126" t="s">
        <v>144</v>
      </c>
      <c r="D25" s="56">
        <v>2.89</v>
      </c>
      <c r="E25" s="105"/>
      <c r="F25" s="106"/>
      <c r="G25" s="106"/>
      <c r="H25" s="107"/>
      <c r="I25" s="131"/>
      <c r="J25" s="131"/>
      <c r="K25" s="147"/>
      <c r="L25" s="79"/>
      <c r="M25" s="79"/>
      <c r="N25" s="10"/>
      <c r="O25" s="10"/>
      <c r="P25" s="10"/>
      <c r="Q25" s="10"/>
      <c r="R25" s="16"/>
      <c r="S25" s="16"/>
      <c r="T25" s="36"/>
      <c r="U25" s="55"/>
      <c r="V25" s="46"/>
      <c r="W25" s="42"/>
      <c r="X25" s="117"/>
      <c r="Y25" s="118"/>
      <c r="AA25" s="65"/>
      <c r="AB25" s="76"/>
      <c r="AC25" s="78"/>
      <c r="AD25" s="63"/>
      <c r="AF25" s="66"/>
      <c r="AG25" s="67"/>
      <c r="AH25" s="75"/>
      <c r="AI25" s="63"/>
      <c r="AK25" s="66"/>
      <c r="AL25" s="67"/>
      <c r="AM25" s="67"/>
      <c r="AN25" s="63"/>
      <c r="AP25" s="66"/>
      <c r="AQ25" s="67"/>
      <c r="AR25" s="67"/>
      <c r="AS25" s="63"/>
    </row>
    <row r="26" spans="1:45" s="3" customFormat="1" ht="25" customHeight="1" thickTop="1" thickBot="1" x14ac:dyDescent="0.25">
      <c r="A26" s="160" t="s">
        <v>84</v>
      </c>
      <c r="B26" s="161"/>
      <c r="C26" s="161"/>
      <c r="D26" s="111">
        <f>SUM(D17:D24)</f>
        <v>20.010000000000002</v>
      </c>
      <c r="E26" s="112" t="s">
        <v>85</v>
      </c>
      <c r="F26" s="113"/>
      <c r="G26" s="114"/>
      <c r="H26" s="115" t="s">
        <v>145</v>
      </c>
      <c r="I26" s="130" t="s">
        <v>146</v>
      </c>
      <c r="J26" s="130"/>
      <c r="K26" s="147"/>
      <c r="L26" s="79"/>
      <c r="M26" s="79"/>
      <c r="N26" s="10"/>
      <c r="O26" s="10"/>
      <c r="P26" s="10"/>
      <c r="Q26" s="10"/>
      <c r="R26" s="159" t="s">
        <v>84</v>
      </c>
      <c r="S26" s="159"/>
      <c r="T26" s="159"/>
      <c r="U26" s="51">
        <f>SUM(U17:U24)</f>
        <v>20.05</v>
      </c>
      <c r="V26" s="50">
        <f>SUM(V17:V24)</f>
        <v>5.5520833333333332E-2</v>
      </c>
      <c r="W26" s="49">
        <f t="shared" si="5"/>
        <v>2.7691188694929343E-3</v>
      </c>
      <c r="X26" s="154" t="str">
        <f>Y24&amp;"位/21"</f>
        <v>4位/21</v>
      </c>
      <c r="Y26" s="155"/>
      <c r="AA26" s="65" t="s">
        <v>147</v>
      </c>
      <c r="AB26" s="76" t="s">
        <v>147</v>
      </c>
      <c r="AC26" s="77">
        <v>149</v>
      </c>
      <c r="AD26" s="63" t="b">
        <f t="shared" si="1"/>
        <v>1</v>
      </c>
      <c r="AF26" s="66" t="s">
        <v>147</v>
      </c>
      <c r="AG26" s="67" t="s">
        <v>147</v>
      </c>
      <c r="AH26" s="75">
        <v>18</v>
      </c>
      <c r="AI26" s="63" t="b">
        <f t="shared" si="2"/>
        <v>1</v>
      </c>
      <c r="AK26" s="66" t="s">
        <v>147</v>
      </c>
      <c r="AL26" s="67" t="s">
        <v>147</v>
      </c>
      <c r="AM26" s="67">
        <v>37</v>
      </c>
      <c r="AN26" s="63" t="b">
        <f t="shared" si="3"/>
        <v>1</v>
      </c>
      <c r="AP26" s="66" t="s">
        <v>147</v>
      </c>
      <c r="AQ26" s="67" t="s">
        <v>147</v>
      </c>
      <c r="AR26" s="67">
        <v>18</v>
      </c>
      <c r="AS26" s="63" t="b">
        <f t="shared" si="4"/>
        <v>1</v>
      </c>
    </row>
    <row r="27" spans="1:45" s="3" customFormat="1" ht="15" hidden="1" customHeight="1" x14ac:dyDescent="0.2">
      <c r="A27" s="153"/>
      <c r="B27" s="153"/>
      <c r="C27" s="153"/>
      <c r="D27" s="108"/>
      <c r="E27" s="109"/>
      <c r="F27" s="110"/>
      <c r="G27" s="110"/>
      <c r="H27" s="92"/>
      <c r="I27" s="131"/>
      <c r="J27" s="131"/>
      <c r="K27" s="147"/>
      <c r="L27" s="81"/>
      <c r="M27" s="81"/>
      <c r="N27" s="10"/>
      <c r="O27" s="10"/>
      <c r="P27" s="10"/>
      <c r="Q27" s="10"/>
      <c r="R27" s="156" t="s">
        <v>89</v>
      </c>
      <c r="S27" s="156"/>
      <c r="T27" s="156"/>
      <c r="U27" s="58">
        <v>17.2</v>
      </c>
      <c r="V27" s="59">
        <v>6.1180555555555551E-2</v>
      </c>
      <c r="W27" s="60">
        <f t="shared" si="5"/>
        <v>3.5570090439276483E-3</v>
      </c>
      <c r="X27" s="157" t="s">
        <v>148</v>
      </c>
      <c r="Y27" s="157"/>
      <c r="AA27" s="65" t="s">
        <v>149</v>
      </c>
      <c r="AB27" s="76" t="s">
        <v>149</v>
      </c>
      <c r="AC27" s="78" t="s">
        <v>150</v>
      </c>
      <c r="AD27" s="63" t="b">
        <f t="shared" si="1"/>
        <v>1</v>
      </c>
      <c r="AF27" s="68" t="s">
        <v>149</v>
      </c>
      <c r="AG27" s="69" t="s">
        <v>149</v>
      </c>
      <c r="AH27" s="75" t="s">
        <v>151</v>
      </c>
      <c r="AI27" s="63" t="b">
        <f t="shared" si="2"/>
        <v>1</v>
      </c>
      <c r="AK27" s="66" t="s">
        <v>149</v>
      </c>
      <c r="AL27" s="67" t="s">
        <v>149</v>
      </c>
      <c r="AM27" s="67" t="s">
        <v>152</v>
      </c>
      <c r="AN27" s="63" t="b">
        <f t="shared" si="3"/>
        <v>1</v>
      </c>
      <c r="AP27" s="68" t="s">
        <v>149</v>
      </c>
      <c r="AQ27" s="69" t="s">
        <v>149</v>
      </c>
      <c r="AR27" s="69" t="s">
        <v>151</v>
      </c>
      <c r="AS27" s="63" t="b">
        <f t="shared" si="4"/>
        <v>1</v>
      </c>
    </row>
    <row r="28" spans="1:45" s="3" customFormat="1" ht="9.75" customHeight="1" thickTop="1" x14ac:dyDescent="0.2">
      <c r="A28" s="17"/>
      <c r="B28" s="14"/>
      <c r="C28" s="35"/>
      <c r="D28" s="25"/>
      <c r="E28" s="19"/>
      <c r="F28" s="17"/>
      <c r="G28" s="17"/>
      <c r="H28" s="18"/>
      <c r="I28" s="131"/>
      <c r="J28" s="131"/>
      <c r="K28" s="144"/>
      <c r="L28" s="81"/>
      <c r="M28" s="81"/>
      <c r="N28" s="6"/>
      <c r="O28" s="6"/>
      <c r="P28" s="6"/>
      <c r="Q28" s="6"/>
      <c r="R28" s="17"/>
      <c r="S28" s="14"/>
      <c r="T28" s="35"/>
      <c r="U28" s="25"/>
      <c r="V28" s="19"/>
      <c r="W28" s="17"/>
      <c r="X28" s="18"/>
      <c r="Y28" s="18"/>
      <c r="AA28" s="65" t="s">
        <v>153</v>
      </c>
      <c r="AB28" s="76" t="s">
        <v>153</v>
      </c>
      <c r="AC28" s="77">
        <v>57</v>
      </c>
      <c r="AD28" s="63" t="b">
        <f t="shared" si="1"/>
        <v>1</v>
      </c>
      <c r="AF28" s="66" t="s">
        <v>153</v>
      </c>
      <c r="AG28" s="67" t="s">
        <v>153</v>
      </c>
      <c r="AH28" s="75">
        <v>4</v>
      </c>
      <c r="AI28" s="63" t="b">
        <f t="shared" si="2"/>
        <v>1</v>
      </c>
      <c r="AK28" s="66" t="s">
        <v>153</v>
      </c>
      <c r="AL28" s="67" t="s">
        <v>153</v>
      </c>
      <c r="AM28" s="67">
        <v>44</v>
      </c>
      <c r="AN28" s="63" t="b">
        <f t="shared" si="3"/>
        <v>1</v>
      </c>
      <c r="AP28" s="66" t="s">
        <v>153</v>
      </c>
      <c r="AQ28" s="67" t="s">
        <v>153</v>
      </c>
      <c r="AR28" s="67">
        <v>4</v>
      </c>
      <c r="AS28" s="63" t="b">
        <f t="shared" si="4"/>
        <v>1</v>
      </c>
    </row>
    <row r="29" spans="1:45" s="4" customFormat="1" ht="18.75" customHeight="1" x14ac:dyDescent="0.35">
      <c r="A29" s="138" t="s">
        <v>154</v>
      </c>
      <c r="B29" s="14"/>
      <c r="C29" s="35"/>
      <c r="D29" s="25"/>
      <c r="E29" s="53"/>
      <c r="F29" s="31"/>
      <c r="G29" s="31"/>
      <c r="H29" s="54"/>
      <c r="I29" s="131"/>
      <c r="J29" s="131"/>
      <c r="K29" s="145"/>
      <c r="L29" s="83"/>
      <c r="M29" s="83"/>
      <c r="N29" s="8"/>
      <c r="O29" s="8"/>
      <c r="P29" s="8"/>
      <c r="Q29" s="8"/>
      <c r="R29" s="15" t="s">
        <v>155</v>
      </c>
      <c r="S29" s="14"/>
      <c r="T29" s="35"/>
      <c r="U29" s="25"/>
      <c r="V29" s="53"/>
      <c r="W29" s="31"/>
      <c r="X29" s="54"/>
      <c r="Y29" s="54"/>
      <c r="Z29" s="151"/>
      <c r="AA29" s="65" t="s">
        <v>156</v>
      </c>
      <c r="AB29" s="76" t="s">
        <v>156</v>
      </c>
      <c r="AC29" s="78" t="s">
        <v>157</v>
      </c>
      <c r="AD29" s="63" t="b">
        <f t="shared" si="1"/>
        <v>1</v>
      </c>
      <c r="AE29" s="151"/>
      <c r="AF29" s="66" t="s">
        <v>156</v>
      </c>
      <c r="AG29" s="67" t="s">
        <v>156</v>
      </c>
      <c r="AH29" s="75" t="s">
        <v>158</v>
      </c>
      <c r="AI29" s="63" t="b">
        <f t="shared" si="2"/>
        <v>1</v>
      </c>
      <c r="AJ29" s="151"/>
      <c r="AK29" s="66" t="s">
        <v>156</v>
      </c>
      <c r="AL29" s="67" t="s">
        <v>156</v>
      </c>
      <c r="AM29" s="67" t="s">
        <v>159</v>
      </c>
      <c r="AN29" s="63" t="b">
        <f t="shared" si="3"/>
        <v>1</v>
      </c>
      <c r="AO29" s="151"/>
      <c r="AP29" s="66" t="s">
        <v>156</v>
      </c>
      <c r="AQ29" s="67" t="s">
        <v>156</v>
      </c>
      <c r="AR29" s="67" t="s">
        <v>158</v>
      </c>
      <c r="AS29" s="63" t="b">
        <f t="shared" si="4"/>
        <v>1</v>
      </c>
    </row>
    <row r="30" spans="1:45" s="3" customFormat="1" ht="18.75" customHeight="1" thickBot="1" x14ac:dyDescent="0.25">
      <c r="A30" s="100" t="s">
        <v>11</v>
      </c>
      <c r="B30" s="162" t="s">
        <v>12</v>
      </c>
      <c r="C30" s="162"/>
      <c r="D30" s="101" t="s">
        <v>13</v>
      </c>
      <c r="E30" s="102" t="s">
        <v>14</v>
      </c>
      <c r="F30" s="103" t="s">
        <v>15</v>
      </c>
      <c r="G30" s="103" t="s">
        <v>16</v>
      </c>
      <c r="H30" s="104" t="s">
        <v>17</v>
      </c>
      <c r="I30" s="135" t="s">
        <v>18</v>
      </c>
      <c r="J30" s="136" t="s">
        <v>14</v>
      </c>
      <c r="K30" s="147" t="s">
        <v>19</v>
      </c>
      <c r="L30" s="84"/>
      <c r="M30" s="84"/>
      <c r="N30" s="57" t="s">
        <v>160</v>
      </c>
      <c r="O30" s="57"/>
      <c r="P30" s="57"/>
      <c r="Q30" s="9"/>
      <c r="R30" s="16" t="s">
        <v>11</v>
      </c>
      <c r="S30" s="158" t="s">
        <v>12</v>
      </c>
      <c r="T30" s="158"/>
      <c r="U30" s="26" t="s">
        <v>13</v>
      </c>
      <c r="V30" s="44" t="s">
        <v>23</v>
      </c>
      <c r="W30" s="33" t="s">
        <v>15</v>
      </c>
      <c r="X30" s="43" t="s">
        <v>24</v>
      </c>
      <c r="Y30" s="43" t="s">
        <v>17</v>
      </c>
      <c r="AA30" s="65" t="s">
        <v>161</v>
      </c>
      <c r="AB30" s="76" t="s">
        <v>161</v>
      </c>
      <c r="AC30" s="77">
        <v>89</v>
      </c>
      <c r="AD30" s="63" t="b">
        <f t="shared" si="1"/>
        <v>1</v>
      </c>
      <c r="AF30" s="66" t="s">
        <v>162</v>
      </c>
      <c r="AG30" s="67" t="s">
        <v>162</v>
      </c>
      <c r="AH30" s="75">
        <v>18</v>
      </c>
      <c r="AI30" s="63" t="b">
        <f t="shared" si="2"/>
        <v>1</v>
      </c>
      <c r="AK30" s="66" t="s">
        <v>162</v>
      </c>
      <c r="AL30" s="67" t="s">
        <v>162</v>
      </c>
      <c r="AM30" s="67">
        <v>18</v>
      </c>
      <c r="AN30" s="63" t="b">
        <f t="shared" si="3"/>
        <v>1</v>
      </c>
      <c r="AP30" s="66" t="s">
        <v>162</v>
      </c>
      <c r="AQ30" s="67" t="s">
        <v>162</v>
      </c>
      <c r="AR30" s="67">
        <v>18</v>
      </c>
      <c r="AS30" s="63" t="b">
        <f t="shared" si="4"/>
        <v>1</v>
      </c>
    </row>
    <row r="31" spans="1:45" ht="25" customHeight="1" thickTop="1" x14ac:dyDescent="0.2">
      <c r="A31" s="94" t="s">
        <v>26</v>
      </c>
      <c r="B31" s="94" t="s">
        <v>163</v>
      </c>
      <c r="C31" s="95" t="s">
        <v>164</v>
      </c>
      <c r="D31" s="96">
        <v>2.82</v>
      </c>
      <c r="E31" s="97"/>
      <c r="F31" s="98"/>
      <c r="G31" s="98"/>
      <c r="H31" s="99"/>
      <c r="I31" s="116" t="s">
        <v>165</v>
      </c>
      <c r="J31" s="131">
        <v>9.5023148148148159E-3</v>
      </c>
      <c r="K31" s="147">
        <v>57</v>
      </c>
      <c r="L31" s="85"/>
      <c r="M31" s="85"/>
      <c r="N31" s="10"/>
      <c r="O31" s="10"/>
      <c r="P31" s="10"/>
      <c r="Q31" s="10"/>
      <c r="R31" s="16" t="s">
        <v>26</v>
      </c>
      <c r="S31" s="16" t="s">
        <v>43</v>
      </c>
      <c r="T31" s="36" t="s">
        <v>165</v>
      </c>
      <c r="U31" s="55">
        <v>2.91</v>
      </c>
      <c r="V31" s="46">
        <f>AM8*1</f>
        <v>9.1782407407407403E-3</v>
      </c>
      <c r="W31" s="42">
        <f t="shared" ref="W31:W40" si="6">V31/U31</f>
        <v>3.1540346188112509E-3</v>
      </c>
      <c r="X31" s="45">
        <f>AM7</f>
        <v>45</v>
      </c>
      <c r="Y31" s="45">
        <f>AM7</f>
        <v>45</v>
      </c>
      <c r="Z31" s="151"/>
      <c r="AA31" s="65" t="s">
        <v>166</v>
      </c>
      <c r="AB31" s="76" t="s">
        <v>166</v>
      </c>
      <c r="AC31" s="78" t="s">
        <v>167</v>
      </c>
      <c r="AD31" s="63" t="b">
        <f t="shared" si="1"/>
        <v>1</v>
      </c>
      <c r="AE31" s="151"/>
      <c r="AF31" s="68" t="s">
        <v>168</v>
      </c>
      <c r="AG31" s="69" t="s">
        <v>168</v>
      </c>
      <c r="AH31" s="75" t="s">
        <v>151</v>
      </c>
      <c r="AI31" s="63" t="b">
        <f t="shared" si="2"/>
        <v>1</v>
      </c>
      <c r="AJ31" s="151"/>
      <c r="AK31" s="68" t="s">
        <v>168</v>
      </c>
      <c r="AL31" s="69" t="s">
        <v>168</v>
      </c>
      <c r="AM31" s="69" t="s">
        <v>151</v>
      </c>
      <c r="AN31" s="63" t="b">
        <f t="shared" si="3"/>
        <v>1</v>
      </c>
      <c r="AO31" s="151"/>
      <c r="AP31" s="68" t="s">
        <v>168</v>
      </c>
      <c r="AQ31" s="69" t="s">
        <v>168</v>
      </c>
      <c r="AR31" s="69" t="s">
        <v>151</v>
      </c>
      <c r="AS31" s="63" t="b">
        <f t="shared" si="4"/>
        <v>1</v>
      </c>
    </row>
    <row r="32" spans="1:45" ht="25" customHeight="1" x14ac:dyDescent="0.2">
      <c r="A32" s="16" t="s">
        <v>34</v>
      </c>
      <c r="B32" s="16" t="s">
        <v>169</v>
      </c>
      <c r="C32" s="36" t="s">
        <v>170</v>
      </c>
      <c r="D32" s="26">
        <v>2.87</v>
      </c>
      <c r="E32" s="46"/>
      <c r="F32" s="42"/>
      <c r="G32" s="42"/>
      <c r="H32" s="74"/>
      <c r="I32" s="116" t="s">
        <v>171</v>
      </c>
      <c r="J32" s="131">
        <v>8.5185185185185173E-3</v>
      </c>
      <c r="K32" s="147">
        <v>57</v>
      </c>
      <c r="L32" s="85"/>
      <c r="M32" s="85"/>
      <c r="N32" s="10"/>
      <c r="O32" s="10"/>
      <c r="P32" s="10"/>
      <c r="Q32" s="10"/>
      <c r="R32" s="16" t="s">
        <v>34</v>
      </c>
      <c r="S32" s="16" t="s">
        <v>172</v>
      </c>
      <c r="T32" s="36" t="s">
        <v>171</v>
      </c>
      <c r="U32" s="26">
        <v>2.85</v>
      </c>
      <c r="V32" s="46">
        <f>AM10*1</f>
        <v>9.0624999999999994E-3</v>
      </c>
      <c r="W32" s="42">
        <f t="shared" si="6"/>
        <v>3.1798245614035082E-3</v>
      </c>
      <c r="X32" s="45">
        <f>AM9</f>
        <v>41</v>
      </c>
      <c r="Y32" s="45">
        <f>AM11</f>
        <v>44</v>
      </c>
      <c r="Z32" s="151"/>
      <c r="AA32" s="65" t="s">
        <v>173</v>
      </c>
      <c r="AB32" s="76" t="s">
        <v>173</v>
      </c>
      <c r="AC32" s="77">
        <v>60</v>
      </c>
      <c r="AD32" s="63" t="b">
        <f t="shared" si="1"/>
        <v>1</v>
      </c>
      <c r="AE32" s="151"/>
      <c r="AF32" s="66" t="s">
        <v>174</v>
      </c>
      <c r="AG32" s="67" t="s">
        <v>174</v>
      </c>
      <c r="AH32" s="75">
        <v>4</v>
      </c>
      <c r="AI32" s="63" t="b">
        <f t="shared" si="2"/>
        <v>1</v>
      </c>
      <c r="AJ32" s="151"/>
      <c r="AK32" s="66" t="s">
        <v>174</v>
      </c>
      <c r="AL32" s="67" t="s">
        <v>174</v>
      </c>
      <c r="AM32" s="67">
        <v>4</v>
      </c>
      <c r="AN32" s="63" t="b">
        <f t="shared" si="3"/>
        <v>1</v>
      </c>
      <c r="AO32" s="151"/>
      <c r="AP32" s="66" t="s">
        <v>174</v>
      </c>
      <c r="AQ32" s="67" t="s">
        <v>174</v>
      </c>
      <c r="AR32" s="67">
        <v>4</v>
      </c>
      <c r="AS32" s="63" t="b">
        <f t="shared" si="4"/>
        <v>1</v>
      </c>
    </row>
    <row r="33" spans="1:45" ht="25" customHeight="1" x14ac:dyDescent="0.2">
      <c r="A33" s="16" t="s">
        <v>42</v>
      </c>
      <c r="B33" s="16" t="s">
        <v>175</v>
      </c>
      <c r="C33" s="36" t="s">
        <v>176</v>
      </c>
      <c r="D33" s="26">
        <v>2.87</v>
      </c>
      <c r="E33" s="46"/>
      <c r="F33" s="42"/>
      <c r="G33" s="42"/>
      <c r="H33" s="74"/>
      <c r="I33" s="116" t="s">
        <v>177</v>
      </c>
      <c r="J33" s="131">
        <v>8.9930555555555562E-3</v>
      </c>
      <c r="K33" s="147">
        <v>56</v>
      </c>
      <c r="L33" s="85"/>
      <c r="M33" s="85"/>
      <c r="N33" s="10"/>
      <c r="O33" s="10"/>
      <c r="P33" s="10"/>
      <c r="Q33" s="10"/>
      <c r="R33" s="16" t="s">
        <v>42</v>
      </c>
      <c r="S33" s="16" t="s">
        <v>178</v>
      </c>
      <c r="T33" s="36" t="s">
        <v>179</v>
      </c>
      <c r="U33" s="26">
        <v>2.85</v>
      </c>
      <c r="V33" s="46">
        <f>AM14*1</f>
        <v>9.8958333333333329E-3</v>
      </c>
      <c r="W33" s="42">
        <f t="shared" si="6"/>
        <v>3.472222222222222E-3</v>
      </c>
      <c r="X33" s="45">
        <f>AM13</f>
        <v>43</v>
      </c>
      <c r="Y33" s="45">
        <f>AM15</f>
        <v>44</v>
      </c>
      <c r="Z33" s="151"/>
      <c r="AA33" s="65" t="s">
        <v>180</v>
      </c>
      <c r="AB33" s="76" t="s">
        <v>180</v>
      </c>
      <c r="AC33" s="78" t="s">
        <v>181</v>
      </c>
      <c r="AD33" s="63" t="b">
        <f t="shared" si="1"/>
        <v>1</v>
      </c>
      <c r="AE33" s="151"/>
      <c r="AF33" s="66" t="s">
        <v>182</v>
      </c>
      <c r="AG33" s="67" t="s">
        <v>182</v>
      </c>
      <c r="AH33" s="75" t="s">
        <v>158</v>
      </c>
      <c r="AI33" s="63" t="b">
        <f t="shared" si="2"/>
        <v>1</v>
      </c>
      <c r="AJ33" s="151"/>
      <c r="AK33" s="66" t="s">
        <v>182</v>
      </c>
      <c r="AL33" s="67" t="s">
        <v>182</v>
      </c>
      <c r="AM33" s="67" t="s">
        <v>158</v>
      </c>
      <c r="AN33" s="63" t="b">
        <f t="shared" si="3"/>
        <v>1</v>
      </c>
      <c r="AO33" s="151"/>
      <c r="AP33" s="66" t="s">
        <v>182</v>
      </c>
      <c r="AQ33" s="67" t="s">
        <v>182</v>
      </c>
      <c r="AR33" s="67" t="s">
        <v>158</v>
      </c>
      <c r="AS33" s="63" t="b">
        <f t="shared" si="4"/>
        <v>1</v>
      </c>
    </row>
    <row r="34" spans="1:45" ht="25" customHeight="1" x14ac:dyDescent="0.2">
      <c r="A34" s="16" t="s">
        <v>47</v>
      </c>
      <c r="B34" s="16" t="s">
        <v>183</v>
      </c>
      <c r="C34" s="37" t="s">
        <v>184</v>
      </c>
      <c r="D34" s="26">
        <v>2.87</v>
      </c>
      <c r="E34" s="46"/>
      <c r="F34" s="42"/>
      <c r="G34" s="42"/>
      <c r="H34" s="74"/>
      <c r="I34" s="116" t="s">
        <v>185</v>
      </c>
      <c r="J34" s="131">
        <v>8.7384259259259238E-3</v>
      </c>
      <c r="K34" s="147">
        <v>53</v>
      </c>
      <c r="L34" s="85"/>
      <c r="M34" s="85"/>
      <c r="N34" s="10"/>
      <c r="O34" s="10"/>
      <c r="P34" s="10"/>
      <c r="Q34" s="10"/>
      <c r="R34" s="16" t="s">
        <v>47</v>
      </c>
      <c r="S34" s="16" t="s">
        <v>186</v>
      </c>
      <c r="T34" s="37" t="s">
        <v>185</v>
      </c>
      <c r="U34" s="26">
        <v>2.85</v>
      </c>
      <c r="V34" s="46">
        <f>AM18*1</f>
        <v>1.0486111111111111E-2</v>
      </c>
      <c r="W34" s="42">
        <f t="shared" si="6"/>
        <v>3.6793372319688109E-3</v>
      </c>
      <c r="X34" s="45">
        <f>AM17</f>
        <v>43</v>
      </c>
      <c r="Y34" s="45">
        <f>AM19</f>
        <v>44</v>
      </c>
      <c r="Z34" s="151"/>
      <c r="AA34" s="65" t="s">
        <v>187</v>
      </c>
      <c r="AB34" s="76" t="s">
        <v>187</v>
      </c>
      <c r="AC34" s="77">
        <v>47</v>
      </c>
      <c r="AD34" s="63" t="b">
        <f t="shared" si="1"/>
        <v>1</v>
      </c>
      <c r="AE34" s="151"/>
      <c r="AF34" s="66" t="s">
        <v>188</v>
      </c>
      <c r="AG34" s="67" t="s">
        <v>188</v>
      </c>
      <c r="AH34" s="75" t="s">
        <v>189</v>
      </c>
      <c r="AI34" s="63" t="b">
        <f t="shared" si="2"/>
        <v>1</v>
      </c>
      <c r="AJ34" s="151"/>
      <c r="AK34" s="66" t="s">
        <v>188</v>
      </c>
      <c r="AL34" s="67" t="s">
        <v>188</v>
      </c>
      <c r="AM34" s="67" t="s">
        <v>190</v>
      </c>
      <c r="AN34" s="63" t="b">
        <f t="shared" si="3"/>
        <v>1</v>
      </c>
      <c r="AO34" s="151"/>
      <c r="AP34" s="66" t="s">
        <v>188</v>
      </c>
      <c r="AQ34" s="67" t="s">
        <v>188</v>
      </c>
      <c r="AR34" s="67" t="s">
        <v>191</v>
      </c>
      <c r="AS34" s="63" t="b">
        <f t="shared" si="4"/>
        <v>1</v>
      </c>
    </row>
    <row r="35" spans="1:45" ht="25" customHeight="1" x14ac:dyDescent="0.2">
      <c r="A35" s="16" t="s">
        <v>56</v>
      </c>
      <c r="B35" s="16" t="s">
        <v>192</v>
      </c>
      <c r="C35" s="36" t="s">
        <v>193</v>
      </c>
      <c r="D35" s="26">
        <v>2.87</v>
      </c>
      <c r="E35" s="46"/>
      <c r="F35" s="42"/>
      <c r="G35" s="42"/>
      <c r="H35" s="74"/>
      <c r="I35" s="116" t="s">
        <v>194</v>
      </c>
      <c r="J35" s="131">
        <v>8.7152777777777801E-3</v>
      </c>
      <c r="K35" s="147">
        <v>50</v>
      </c>
      <c r="L35" s="79"/>
      <c r="M35" s="79"/>
      <c r="N35" s="10"/>
      <c r="O35" s="10"/>
      <c r="P35" s="10"/>
      <c r="Q35" s="10"/>
      <c r="R35" s="16" t="s">
        <v>56</v>
      </c>
      <c r="S35" s="16" t="s">
        <v>186</v>
      </c>
      <c r="T35" s="36" t="s">
        <v>194</v>
      </c>
      <c r="U35" s="26">
        <v>2.85</v>
      </c>
      <c r="V35" s="46">
        <f>AM22*1</f>
        <v>9.7222222222222224E-3</v>
      </c>
      <c r="W35" s="42">
        <f t="shared" si="6"/>
        <v>3.4113060428849901E-3</v>
      </c>
      <c r="X35" s="45">
        <f>AM21</f>
        <v>42</v>
      </c>
      <c r="Y35" s="45">
        <f>AM23</f>
        <v>42</v>
      </c>
      <c r="Z35" s="151"/>
      <c r="AA35" s="65" t="s">
        <v>195</v>
      </c>
      <c r="AB35" s="76" t="s">
        <v>195</v>
      </c>
      <c r="AC35" s="78" t="s">
        <v>196</v>
      </c>
      <c r="AD35" s="63" t="b">
        <f t="shared" si="1"/>
        <v>1</v>
      </c>
      <c r="AE35" s="151"/>
      <c r="AF35" s="70"/>
      <c r="AG35" s="151"/>
      <c r="AH35" s="152"/>
      <c r="AJ35" s="151"/>
      <c r="AK35" s="151"/>
      <c r="AL35" s="151"/>
      <c r="AM35" s="151"/>
      <c r="AO35" s="151"/>
      <c r="AP35" s="151"/>
      <c r="AQ35" s="151"/>
      <c r="AR35" s="151"/>
    </row>
    <row r="36" spans="1:45" ht="25" customHeight="1" x14ac:dyDescent="0.2">
      <c r="A36" s="16" t="s">
        <v>62</v>
      </c>
      <c r="B36" s="16" t="s">
        <v>197</v>
      </c>
      <c r="C36" s="36" t="s">
        <v>198</v>
      </c>
      <c r="D36" s="26">
        <v>2.87</v>
      </c>
      <c r="E36" s="46"/>
      <c r="F36" s="42"/>
      <c r="G36" s="42"/>
      <c r="H36" s="74"/>
      <c r="I36" s="116" t="s">
        <v>199</v>
      </c>
      <c r="J36" s="131">
        <v>1.0462962962962966E-2</v>
      </c>
      <c r="K36" s="147">
        <v>52</v>
      </c>
      <c r="L36" s="79"/>
      <c r="M36" s="79"/>
      <c r="N36" s="10"/>
      <c r="O36" s="10"/>
      <c r="P36" s="10"/>
      <c r="Q36" s="10"/>
      <c r="R36" s="16" t="s">
        <v>62</v>
      </c>
      <c r="S36" s="16" t="s">
        <v>200</v>
      </c>
      <c r="T36" s="36" t="s">
        <v>199</v>
      </c>
      <c r="U36" s="26">
        <v>2.85</v>
      </c>
      <c r="V36" s="46">
        <f>AM27*1</f>
        <v>9.3518518518518525E-3</v>
      </c>
      <c r="W36" s="42">
        <f t="shared" si="6"/>
        <v>3.2813515269655624E-3</v>
      </c>
      <c r="X36" s="45">
        <f>AM26</f>
        <v>37</v>
      </c>
      <c r="Y36" s="45">
        <f>AM28</f>
        <v>44</v>
      </c>
      <c r="Z36" s="151"/>
      <c r="AA36" s="65" t="s">
        <v>201</v>
      </c>
      <c r="AB36" s="76" t="s">
        <v>201</v>
      </c>
      <c r="AC36" s="77">
        <v>56</v>
      </c>
      <c r="AD36" s="63" t="b">
        <f t="shared" si="1"/>
        <v>1</v>
      </c>
      <c r="AE36" s="151"/>
      <c r="AF36" s="151"/>
      <c r="AG36" s="151"/>
      <c r="AH36" s="152"/>
      <c r="AJ36" s="151"/>
      <c r="AK36" s="151"/>
      <c r="AL36" s="151"/>
      <c r="AM36" s="151"/>
      <c r="AO36" s="151"/>
      <c r="AP36" s="151"/>
      <c r="AQ36" s="151"/>
      <c r="AR36" s="151"/>
    </row>
    <row r="37" spans="1:45" ht="25" customHeight="1" x14ac:dyDescent="0.2">
      <c r="A37" s="16" t="s">
        <v>71</v>
      </c>
      <c r="B37" s="16" t="s">
        <v>202</v>
      </c>
      <c r="C37" s="119" t="s">
        <v>203</v>
      </c>
      <c r="D37" s="55">
        <v>2.87</v>
      </c>
      <c r="E37" s="46"/>
      <c r="F37" s="42"/>
      <c r="G37" s="42"/>
      <c r="H37" s="74"/>
      <c r="I37" s="127" t="s">
        <v>179</v>
      </c>
      <c r="J37" s="133" t="s">
        <v>204</v>
      </c>
      <c r="K37" s="147">
        <v>54</v>
      </c>
      <c r="L37" s="79"/>
      <c r="M37" s="79"/>
      <c r="N37" s="10"/>
      <c r="O37" s="10"/>
      <c r="P37" s="10"/>
      <c r="Q37" s="10"/>
      <c r="R37" s="16" t="s">
        <v>71</v>
      </c>
      <c r="S37" s="16" t="s">
        <v>205</v>
      </c>
      <c r="T37" s="36" t="s">
        <v>206</v>
      </c>
      <c r="U37" s="55">
        <v>2.89</v>
      </c>
      <c r="V37" s="46">
        <f>AM31*1</f>
        <v>8.1249999999999985E-3</v>
      </c>
      <c r="W37" s="42">
        <f t="shared" si="6"/>
        <v>2.8114186851211065E-3</v>
      </c>
      <c r="X37" s="45">
        <f>AM30</f>
        <v>18</v>
      </c>
      <c r="Y37" s="45">
        <f>AM32</f>
        <v>4</v>
      </c>
      <c r="Z37" s="151"/>
      <c r="AA37" s="65" t="s">
        <v>207</v>
      </c>
      <c r="AB37" s="76" t="s">
        <v>207</v>
      </c>
      <c r="AC37" s="78" t="s">
        <v>208</v>
      </c>
      <c r="AD37" s="63" t="b">
        <f t="shared" si="1"/>
        <v>1</v>
      </c>
      <c r="AE37" s="151"/>
      <c r="AF37" s="151"/>
      <c r="AG37" s="151"/>
      <c r="AH37" s="152"/>
      <c r="AJ37" s="151"/>
      <c r="AK37" s="151"/>
      <c r="AL37" s="151"/>
      <c r="AM37" s="151"/>
      <c r="AO37" s="151"/>
      <c r="AP37" s="151"/>
      <c r="AQ37" s="151"/>
      <c r="AR37" s="151"/>
    </row>
    <row r="38" spans="1:45" ht="25" customHeight="1" thickBot="1" x14ac:dyDescent="0.25">
      <c r="A38" s="16" t="s">
        <v>76</v>
      </c>
      <c r="B38" s="120" t="s">
        <v>178</v>
      </c>
      <c r="C38" s="121" t="s">
        <v>209</v>
      </c>
      <c r="D38" s="122">
        <v>3.02</v>
      </c>
      <c r="E38" s="123"/>
      <c r="F38" s="124"/>
      <c r="G38" s="124"/>
      <c r="H38" s="125"/>
      <c r="I38" s="131"/>
      <c r="J38" s="131"/>
      <c r="K38" s="147"/>
      <c r="L38" s="79"/>
      <c r="M38" s="79"/>
      <c r="N38" s="10"/>
      <c r="O38" s="10"/>
      <c r="P38" s="10"/>
      <c r="Q38" s="10"/>
      <c r="R38" s="16"/>
      <c r="S38" s="16"/>
      <c r="T38" s="36"/>
      <c r="U38" s="55"/>
      <c r="V38" s="46"/>
      <c r="W38" s="42"/>
      <c r="X38" s="117"/>
      <c r="Y38" s="118"/>
      <c r="Z38" s="151"/>
      <c r="AA38" s="65"/>
      <c r="AB38" s="76"/>
      <c r="AC38" s="78"/>
      <c r="AD38" s="63"/>
      <c r="AE38" s="151"/>
      <c r="AF38" s="151"/>
      <c r="AG38" s="151"/>
      <c r="AH38" s="152"/>
      <c r="AJ38" s="151"/>
      <c r="AK38" s="151"/>
      <c r="AL38" s="151"/>
      <c r="AM38" s="151"/>
      <c r="AO38" s="151"/>
      <c r="AP38" s="151"/>
      <c r="AQ38" s="151"/>
      <c r="AR38" s="151"/>
    </row>
    <row r="39" spans="1:45" s="3" customFormat="1" ht="25" customHeight="1" thickTop="1" thickBot="1" x14ac:dyDescent="0.25">
      <c r="A39" s="160" t="s">
        <v>84</v>
      </c>
      <c r="B39" s="161"/>
      <c r="C39" s="161"/>
      <c r="D39" s="111">
        <f>SUM(D30:D37)</f>
        <v>20.040000000000003</v>
      </c>
      <c r="E39" s="112" t="s">
        <v>85</v>
      </c>
      <c r="F39" s="113"/>
      <c r="G39" s="114"/>
      <c r="H39" s="115" t="s">
        <v>210</v>
      </c>
      <c r="I39" s="130" t="s">
        <v>211</v>
      </c>
      <c r="J39" s="130"/>
      <c r="K39" s="147"/>
      <c r="L39" s="79"/>
      <c r="M39" s="79"/>
      <c r="N39" s="10"/>
      <c r="O39" s="10"/>
      <c r="P39" s="10"/>
      <c r="Q39" s="10"/>
      <c r="R39" s="159" t="s">
        <v>84</v>
      </c>
      <c r="S39" s="159"/>
      <c r="T39" s="159"/>
      <c r="U39" s="51">
        <f>SUM(U30:U37)</f>
        <v>20.05</v>
      </c>
      <c r="V39" s="50">
        <f>SUM(V30:V37)</f>
        <v>6.582175925925926E-2</v>
      </c>
      <c r="W39" s="49">
        <f t="shared" si="6"/>
        <v>3.2828807610603122E-3</v>
      </c>
      <c r="X39" s="154" t="str">
        <f>Y37&amp;"位/21"</f>
        <v>4位/21</v>
      </c>
      <c r="Y39" s="155"/>
      <c r="AA39" s="65" t="s">
        <v>188</v>
      </c>
      <c r="AB39" s="76" t="s">
        <v>188</v>
      </c>
      <c r="AC39" s="78" t="s">
        <v>212</v>
      </c>
      <c r="AD39" s="63" t="b">
        <f t="shared" si="1"/>
        <v>1</v>
      </c>
      <c r="AH39" s="72"/>
      <c r="AI39" s="71"/>
      <c r="AN39" s="71"/>
      <c r="AS39" s="71"/>
    </row>
    <row r="40" spans="1:45" s="3" customFormat="1" ht="15" hidden="1" customHeight="1" x14ac:dyDescent="0.2">
      <c r="A40" s="153"/>
      <c r="B40" s="153"/>
      <c r="C40" s="153"/>
      <c r="D40" s="108"/>
      <c r="E40" s="109"/>
      <c r="F40" s="110"/>
      <c r="G40" s="110"/>
      <c r="H40" s="92"/>
      <c r="I40" s="131"/>
      <c r="J40" s="131"/>
      <c r="K40" s="147"/>
      <c r="L40" s="80"/>
      <c r="M40" s="80"/>
      <c r="N40" s="10"/>
      <c r="O40" s="10"/>
      <c r="P40" s="10"/>
      <c r="Q40" s="10"/>
      <c r="R40" s="156" t="s">
        <v>89</v>
      </c>
      <c r="S40" s="156"/>
      <c r="T40" s="156"/>
      <c r="U40" s="58">
        <v>17.2</v>
      </c>
      <c r="V40" s="59">
        <v>5.9085648148148151E-2</v>
      </c>
      <c r="W40" s="60">
        <f t="shared" si="6"/>
        <v>3.4352121016365204E-3</v>
      </c>
      <c r="X40" s="157" t="s">
        <v>213</v>
      </c>
      <c r="Y40" s="157"/>
      <c r="AC40" s="72"/>
      <c r="AD40" s="71"/>
      <c r="AH40" s="72"/>
      <c r="AI40" s="71"/>
      <c r="AN40" s="71"/>
      <c r="AS40" s="71"/>
    </row>
    <row r="41" spans="1:45" ht="6.75" customHeight="1" thickTop="1" x14ac:dyDescent="0.2">
      <c r="A41" s="20"/>
      <c r="B41" s="34"/>
      <c r="C41" s="29"/>
      <c r="D41" s="27"/>
      <c r="E41" s="32"/>
      <c r="F41" s="32"/>
      <c r="G41" s="32"/>
      <c r="H41" s="32"/>
      <c r="I41" s="131"/>
      <c r="J41" s="131"/>
      <c r="K41" s="148"/>
      <c r="L41" s="80"/>
      <c r="M41" s="80"/>
      <c r="N41" s="11"/>
      <c r="O41" s="11"/>
      <c r="P41" s="11"/>
      <c r="Q41" s="11"/>
      <c r="R41" s="20"/>
      <c r="S41" s="34"/>
      <c r="T41" s="29"/>
      <c r="U41" s="27"/>
      <c r="V41" s="32"/>
      <c r="W41" s="32"/>
      <c r="X41" s="32"/>
      <c r="Y41" s="32"/>
      <c r="Z41" s="151"/>
      <c r="AA41" s="151"/>
      <c r="AB41" s="151"/>
      <c r="AC41" s="152"/>
      <c r="AE41" s="151"/>
      <c r="AF41" s="151"/>
      <c r="AG41" s="151"/>
      <c r="AH41" s="152"/>
      <c r="AJ41" s="151"/>
      <c r="AK41" s="151"/>
      <c r="AL41" s="151"/>
      <c r="AM41" s="151"/>
      <c r="AO41" s="151"/>
      <c r="AP41" s="151"/>
      <c r="AQ41" s="151"/>
      <c r="AR41" s="151"/>
    </row>
    <row r="42" spans="1:45" ht="12.75" customHeight="1" x14ac:dyDescent="0.2">
      <c r="A42" s="153"/>
      <c r="B42" s="153"/>
      <c r="C42" s="153"/>
      <c r="D42" s="108"/>
      <c r="E42" s="109"/>
      <c r="F42" s="110"/>
      <c r="G42" s="110"/>
      <c r="H42" s="92"/>
      <c r="I42" s="131"/>
      <c r="J42" s="131"/>
      <c r="K42" s="147"/>
      <c r="L42" s="29"/>
      <c r="M42" s="29"/>
      <c r="N42" s="11"/>
      <c r="O42" s="11"/>
      <c r="P42" s="11"/>
      <c r="Q42" s="11"/>
      <c r="R42" s="151"/>
      <c r="S42" s="151"/>
      <c r="T42" s="151"/>
      <c r="U42" s="151"/>
      <c r="W42" s="151"/>
      <c r="X42" s="151"/>
      <c r="Y42" s="151"/>
      <c r="Z42" s="151"/>
      <c r="AA42" s="151"/>
      <c r="AB42" s="151"/>
      <c r="AC42" s="152"/>
      <c r="AE42" s="151"/>
      <c r="AF42" s="151"/>
      <c r="AG42" s="151"/>
      <c r="AH42" s="152"/>
      <c r="AJ42" s="151"/>
      <c r="AK42" s="151"/>
      <c r="AL42" s="151"/>
      <c r="AM42" s="151"/>
      <c r="AO42" s="151"/>
      <c r="AP42" s="151"/>
      <c r="AQ42" s="151"/>
      <c r="AR42" s="151"/>
    </row>
    <row r="43" spans="1:45" x14ac:dyDescent="0.2">
      <c r="A43" s="12"/>
      <c r="B43" s="14"/>
      <c r="C43" s="35"/>
      <c r="D43" s="25"/>
      <c r="E43" s="19"/>
      <c r="F43" s="17"/>
      <c r="G43" s="17"/>
      <c r="H43" s="18"/>
      <c r="I43" s="129"/>
      <c r="J43" s="131"/>
      <c r="K43" s="144"/>
      <c r="L43" s="81"/>
      <c r="M43" s="81"/>
      <c r="R43" s="151"/>
      <c r="S43" s="151"/>
      <c r="T43" s="151"/>
      <c r="U43" s="151"/>
      <c r="W43" s="151"/>
      <c r="X43" s="151"/>
      <c r="Y43" s="151"/>
      <c r="Z43" s="151"/>
      <c r="AA43" s="151"/>
      <c r="AB43" s="151"/>
      <c r="AC43" s="152"/>
      <c r="AE43" s="151"/>
      <c r="AF43" s="151"/>
      <c r="AG43" s="151"/>
      <c r="AH43" s="152"/>
      <c r="AJ43" s="151"/>
      <c r="AK43" s="151"/>
      <c r="AL43" s="151"/>
      <c r="AM43" s="151"/>
      <c r="AO43" s="151"/>
      <c r="AP43" s="151"/>
      <c r="AQ43" s="151"/>
      <c r="AR43" s="151"/>
    </row>
  </sheetData>
  <mergeCells count="25">
    <mergeCell ref="B4:C4"/>
    <mergeCell ref="S4:T4"/>
    <mergeCell ref="R13:T13"/>
    <mergeCell ref="B17:C17"/>
    <mergeCell ref="A13:C13"/>
    <mergeCell ref="A14:C14"/>
    <mergeCell ref="X13:Y13"/>
    <mergeCell ref="R14:T14"/>
    <mergeCell ref="X14:Y14"/>
    <mergeCell ref="S17:T17"/>
    <mergeCell ref="R26:T26"/>
    <mergeCell ref="A42:C42"/>
    <mergeCell ref="X26:Y26"/>
    <mergeCell ref="R27:T27"/>
    <mergeCell ref="X27:Y27"/>
    <mergeCell ref="S30:T30"/>
    <mergeCell ref="R39:T39"/>
    <mergeCell ref="X39:Y39"/>
    <mergeCell ref="R40:T40"/>
    <mergeCell ref="X40:Y40"/>
    <mergeCell ref="A26:C26"/>
    <mergeCell ref="A27:C27"/>
    <mergeCell ref="A39:C39"/>
    <mergeCell ref="B30:C30"/>
    <mergeCell ref="A40:C40"/>
  </mergeCells>
  <phoneticPr fontId="2"/>
  <conditionalFormatting sqref="AD1:AD1048576 AI1:AI1048576 AN1:AN1048576 AS1:AS1048576">
    <cfRule type="notContainsText" dxfId="0" priority="1" stopIfTrue="1" operator="notContains" text="TRUE">
      <formula>ISERROR(SEARCH("TRUE",AD1))</formula>
    </cfRule>
  </conditionalFormatting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c1c44-e65e-43e7-94fb-6edd69e0929a" xsi:nil="true"/>
    <lcf76f155ced4ddcb4097134ff3c332f xmlns="6e9d908a-9f95-4997-80f1-3523e6bc2e1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43775712445F4F82775BB460FB3292" ma:contentTypeVersion="19" ma:contentTypeDescription="新しいドキュメントを作成します。" ma:contentTypeScope="" ma:versionID="0d0ac6cb371acd5a9f7d9260ff1fe8c6">
  <xsd:schema xmlns:xsd="http://www.w3.org/2001/XMLSchema" xmlns:xs="http://www.w3.org/2001/XMLSchema" xmlns:p="http://schemas.microsoft.com/office/2006/metadata/properties" xmlns:ns2="6e9d908a-9f95-4997-80f1-3523e6bc2e19" xmlns:ns3="25ec1c44-e65e-43e7-94fb-6edd69e0929a" targetNamespace="http://schemas.microsoft.com/office/2006/metadata/properties" ma:root="true" ma:fieldsID="6d7e29fa09bbc0a240c1b27e96e8d8d5" ns2:_="" ns3:_="">
    <xsd:import namespace="6e9d908a-9f95-4997-80f1-3523e6bc2e19"/>
    <xsd:import namespace="25ec1c44-e65e-43e7-94fb-6edd69e092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908a-9f95-4997-80f1-3523e6bc2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c1c44-e65e-43e7-94fb-6edd69e09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a44d82-081a-4791-bff5-ed16b6724170}" ma:internalName="TaxCatchAll" ma:showField="CatchAllData" ma:web="25ec1c44-e65e-43e7-94fb-6edd69e092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0ADBCA-30E3-4AB4-AE20-8E9C98C78D6A}">
  <ds:schemaRefs>
    <ds:schemaRef ds:uri="http://schemas.microsoft.com/office/2006/metadata/properties"/>
    <ds:schemaRef ds:uri="http://schemas.microsoft.com/office/infopath/2007/PartnerControls"/>
    <ds:schemaRef ds:uri="25ec1c44-e65e-43e7-94fb-6edd69e0929a"/>
    <ds:schemaRef ds:uri="6e9d908a-9f95-4997-80f1-3523e6bc2e19"/>
  </ds:schemaRefs>
</ds:datastoreItem>
</file>

<file path=customXml/itemProps2.xml><?xml version="1.0" encoding="utf-8"?>
<ds:datastoreItem xmlns:ds="http://schemas.openxmlformats.org/officeDocument/2006/customXml" ds:itemID="{7B2D40D8-2A31-41DB-AA18-BC58FD4A3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d908a-9f95-4997-80f1-3523e6bc2e19"/>
    <ds:schemaRef ds:uri="25ec1c44-e65e-43e7-94fb-6edd69e09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7B5007-04FF-4A7F-9307-5AB7B1C399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24速報記入用</vt:lpstr>
      <vt:lpstr>'24速報記入用'!Print_Area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ITOU TAKASHI</dc:creator>
  <cp:keywords/>
  <dc:description/>
  <cp:lastModifiedBy>Ono, Takahiro/尾野 貴広</cp:lastModifiedBy>
  <cp:revision/>
  <dcterms:created xsi:type="dcterms:W3CDTF">2003-12-06T12:31:31Z</dcterms:created>
  <dcterms:modified xsi:type="dcterms:W3CDTF">2025-12-04T02:46:20Z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0x010100DA43775712445F4F82775BB460FB3292</vt:lpwstr>
  </property>
  <property fmtid="{D5CDD505-2E9C-101B-9397-08002B2CF9AE}" pid="3" name="MediaServiceImageTags">
    <vt:lpwstr/>
  </property>
</Properties>
</file>